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d3bfd170d13d4a3b/Data Analystics/Assignments/"/>
    </mc:Choice>
  </mc:AlternateContent>
  <xr:revisionPtr revIDLastSave="1" documentId="11_483AA57204662216F3CAF91AD18039088428A788" xr6:coauthVersionLast="47" xr6:coauthVersionMax="47" xr10:uidLastSave="{12A9F4F6-AE6D-43C0-87A0-C0A185CE22E5}"/>
  <bookViews>
    <workbookView xWindow="-120" yWindow="-120" windowWidth="20730" windowHeight="11760" activeTab="2" xr2:uid="{00000000-000D-0000-FFFF-FFFF00000000}"/>
  </bookViews>
  <sheets>
    <sheet name="Instructions" sheetId="1" r:id="rId1"/>
    <sheet name="Dataset" sheetId="2" r:id="rId2"/>
    <sheet name="Answ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3" l="1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" i="3"/>
  <c r="P33" i="3"/>
  <c r="O33" i="3"/>
  <c r="H33" i="3"/>
  <c r="P32" i="3"/>
  <c r="O32" i="3"/>
  <c r="H32" i="3"/>
  <c r="P31" i="3"/>
  <c r="O31" i="3"/>
  <c r="H31" i="3"/>
  <c r="P30" i="3"/>
  <c r="O30" i="3"/>
  <c r="H30" i="3"/>
  <c r="P29" i="3"/>
  <c r="O29" i="3"/>
  <c r="H29" i="3"/>
  <c r="P28" i="3"/>
  <c r="O28" i="3"/>
  <c r="H28" i="3"/>
  <c r="P27" i="3"/>
  <c r="O27" i="3"/>
  <c r="H27" i="3"/>
  <c r="P26" i="3"/>
  <c r="O26" i="3"/>
  <c r="H26" i="3"/>
  <c r="P25" i="3"/>
  <c r="O25" i="3"/>
  <c r="H25" i="3"/>
  <c r="P24" i="3"/>
  <c r="O24" i="3"/>
  <c r="H24" i="3"/>
  <c r="P23" i="3"/>
  <c r="O23" i="3"/>
  <c r="H23" i="3"/>
  <c r="P22" i="3"/>
  <c r="O22" i="3"/>
  <c r="H22" i="3"/>
  <c r="P21" i="3"/>
  <c r="O21" i="3"/>
  <c r="H21" i="3"/>
  <c r="P20" i="3"/>
  <c r="O20" i="3"/>
  <c r="H20" i="3"/>
  <c r="P19" i="3"/>
  <c r="O19" i="3"/>
  <c r="H19" i="3"/>
  <c r="P18" i="3"/>
  <c r="O18" i="3"/>
  <c r="H18" i="3"/>
  <c r="P17" i="3"/>
  <c r="O17" i="3"/>
  <c r="H17" i="3"/>
  <c r="P16" i="3"/>
  <c r="O16" i="3"/>
  <c r="H16" i="3"/>
  <c r="P15" i="3"/>
  <c r="O15" i="3"/>
  <c r="H15" i="3"/>
  <c r="P14" i="3"/>
  <c r="O14" i="3"/>
  <c r="H14" i="3"/>
  <c r="P13" i="3"/>
  <c r="O13" i="3"/>
  <c r="H13" i="3"/>
  <c r="P12" i="3"/>
  <c r="O12" i="3"/>
  <c r="H12" i="3"/>
  <c r="P11" i="3"/>
  <c r="O11" i="3"/>
  <c r="H11" i="3"/>
  <c r="P10" i="3"/>
  <c r="O10" i="3"/>
  <c r="H10" i="3"/>
  <c r="P9" i="3"/>
  <c r="O9" i="3"/>
  <c r="H9" i="3"/>
  <c r="P8" i="3"/>
  <c r="O8" i="3"/>
  <c r="H8" i="3"/>
  <c r="P7" i="3"/>
  <c r="O7" i="3"/>
  <c r="H7" i="3"/>
  <c r="P6" i="3"/>
  <c r="O6" i="3"/>
  <c r="H6" i="3"/>
  <c r="P5" i="3"/>
  <c r="O5" i="3"/>
  <c r="H5" i="3"/>
  <c r="P4" i="3"/>
  <c r="O4" i="3"/>
  <c r="H4" i="3"/>
  <c r="P3" i="3"/>
  <c r="O3" i="3"/>
  <c r="K3" i="3" a="1"/>
  <c r="K3" i="3"/>
  <c r="H3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<sst xmlns="http://schemas.openxmlformats.org/spreadsheetml/2006/main" count="393" uniqueCount="155">
  <si>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</si>
  <si>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</si>
  <si>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</si>
  <si>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</si>
  <si>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</si>
  <si>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</si>
  <si>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</si>
  <si>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</si>
  <si>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</si>
  <si>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</si>
  <si>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</si>
  <si>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</si>
  <si>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</si>
  <si>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</si>
  <si>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</si>
  <si>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</si>
  <si>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</si>
  <si>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</si>
  <si>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</si>
  <si>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</si>
  <si>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</si>
  <si>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</si>
  <si>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</si>
  <si>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</si>
  <si>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</si>
  <si>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</si>
  <si>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</si>
  <si>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</si>
  <si>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</si>
  <si>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</si>
  <si>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</si>
  <si>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</si>
  <si>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</si>
  <si>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</si>
  <si>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</si>
  <si>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</si>
  <si>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</si>
  <si>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</si>
  <si>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</si>
  <si>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</si>
  <si>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</si>
  <si>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</si>
  <si>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</si>
  <si>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</si>
  <si>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</si>
  <si>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</si>
  <si>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</si>
  <si>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</si>
  <si>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</si>
  <si>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</si>
  <si>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</si>
  <si>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</si>
  <si>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</si>
  <si>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</si>
  <si>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</si>
  <si>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</si>
  <si>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</si>
  <si>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</si>
  <si>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</si>
  <si>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</si>
  <si>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</si>
  <si>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</si>
  <si>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</si>
  <si>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</si>
  <si>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</si>
  <si>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</si>
  <si>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</si>
  <si>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</si>
  <si>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</si>
  <si>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</si>
  <si>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</si>
  <si>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</si>
  <si>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</si>
  <si>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</si>
  <si>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</si>
  <si>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</si>
  <si>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</si>
  <si>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</si>
  <si>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</si>
  <si>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</si>
  <si>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</si>
  <si>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</si>
  <si>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</si>
  <si>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</si>
  <si>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</si>
  <si>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</si>
  <si>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</si>
  <si>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</si>
  <si>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</si>
  <si>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</si>
  <si>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</si>
  <si>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</si>
  <si>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</si>
  <si>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</si>
  <si>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</si>
  <si>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</si>
  <si>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</si>
  <si>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</si>
  <si>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</si>
  <si>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</si>
  <si>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</si>
  <si>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</si>
  <si>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</si>
  <si>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</si>
  <si>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</si>
  <si>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</si>
  <si>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</si>
  <si>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</si>
  <si>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</si>
  <si>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</si>
  <si>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</si>
  <si>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</si>
  <si>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</si>
  <si>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</si>
  <si>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</si>
  <si>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</si>
  <si>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3.Removing Duplicate</t>
  </si>
  <si>
    <t>1.Handling Missing Values</t>
  </si>
  <si>
    <t>2.Correcting Inconsistent Data</t>
  </si>
  <si>
    <t>4.Splitting and Merging Data</t>
  </si>
  <si>
    <t>5.Number Formatting</t>
  </si>
  <si>
    <t>6.Conditional Formatting</t>
  </si>
  <si>
    <t>Manufacturing Date</t>
  </si>
  <si>
    <t>Country Code</t>
  </si>
  <si>
    <t>Product Brand</t>
  </si>
  <si>
    <t>28-JAN</t>
  </si>
  <si>
    <t>15-FEB</t>
  </si>
  <si>
    <t>03-MAR</t>
  </si>
  <si>
    <t>11-APR</t>
  </si>
  <si>
    <t>22-MAY</t>
  </si>
  <si>
    <t>07-JUN</t>
  </si>
  <si>
    <t>19-JUL</t>
  </si>
  <si>
    <t>23-AUG</t>
  </si>
  <si>
    <t>05-SEP</t>
  </si>
  <si>
    <t>14-OCT</t>
  </si>
  <si>
    <t>17-JUN</t>
  </si>
  <si>
    <t>25-NOV</t>
  </si>
  <si>
    <t>08-DEC</t>
  </si>
  <si>
    <t>18-FEB</t>
  </si>
  <si>
    <t>16-APR</t>
  </si>
  <si>
    <t>21-AUG</t>
  </si>
  <si>
    <t>20-AUG</t>
  </si>
  <si>
    <t>27-JAN</t>
  </si>
  <si>
    <t>01-MAR</t>
  </si>
  <si>
    <t>14-AUG</t>
  </si>
  <si>
    <t>14-MAY</t>
  </si>
  <si>
    <t>09-JAN</t>
  </si>
  <si>
    <t>29-SEP</t>
  </si>
  <si>
    <t>03-JUN</t>
  </si>
  <si>
    <t>11-JUL</t>
  </si>
  <si>
    <t>07-MAR</t>
  </si>
  <si>
    <t>13-APR</t>
  </si>
  <si>
    <t>24-MAY</t>
  </si>
  <si>
    <t>02-DEC</t>
  </si>
  <si>
    <t>09-JUL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</si>
</sst>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[$₹-449]\ #,##0"/>
    <numFmt numFmtId="168" formatCode="&quot;Rp&quot;#,##0"/>
  </numFmts>
  <fonts count="11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b/>
      <sz val="10"/>
      <color theme="1"/>
      <name val="Arial"/>
      <charset val="134"/>
    </font>
    <font>
      <b/>
      <sz val="10"/>
      <color rgb="FF000000"/>
      <name val="Arial"/>
      <charset val="134"/>
      <scheme val="minor"/>
    </font>
    <font>
      <sz val="10"/>
      <color theme="1"/>
      <name val="Arial"/>
      <charset val="134"/>
    </font>
    <font>
      <b/>
      <sz val="11"/>
      <color theme="1"/>
      <name val="Arial"/>
      <charset val="134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b/>
      <sz val="11"/>
      <color theme="1"/>
      <name val="Calibri"/>
      <charset val="134"/>
    </font>
    <font>
      <sz val="11"/>
      <color theme="1"/>
      <name val="Times New Roman"/>
      <charset val="134"/>
    </font>
    <font>
      <b/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/>
    </xf>
    <xf numFmtId="1" fontId="3" fillId="0" borderId="5" xfId="0" applyNumberFormat="1" applyFont="1" applyBorder="1" applyAlignment="1">
      <alignment horizontal="center"/>
    </xf>
    <xf numFmtId="0" fontId="4" fillId="0" borderId="0" xfId="0" applyFont="1"/>
    <xf numFmtId="1" fontId="0" fillId="0" borderId="6" xfId="0" applyNumberFormat="1" applyBorder="1" applyAlignment="1">
      <alignment horizontal="left"/>
    </xf>
    <xf numFmtId="0" fontId="4" fillId="4" borderId="0" xfId="0" applyFont="1" applyFill="1"/>
    <xf numFmtId="1" fontId="3" fillId="0" borderId="6" xfId="0" applyNumberFormat="1" applyFont="1" applyBorder="1" applyAlignment="1">
      <alignment horizontal="left"/>
    </xf>
    <xf numFmtId="1" fontId="0" fillId="0" borderId="7" xfId="0" applyNumberFormat="1" applyBorder="1" applyAlignment="1">
      <alignment horizontal="left"/>
    </xf>
    <xf numFmtId="168" fontId="0" fillId="0" borderId="0" xfId="0" applyNumberFormat="1"/>
    <xf numFmtId="1" fontId="0" fillId="0" borderId="0" xfId="0" applyNumberFormat="1" applyAlignment="1">
      <alignment horizontal="left"/>
    </xf>
    <xf numFmtId="0" fontId="3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9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7" xfId="0" applyBorder="1" applyAlignment="1">
      <alignment horizontal="left"/>
    </xf>
    <xf numFmtId="167" fontId="0" fillId="0" borderId="12" xfId="0" applyNumberFormat="1" applyBorder="1" applyAlignment="1">
      <alignment horizontal="left"/>
    </xf>
    <xf numFmtId="14" fontId="0" fillId="0" borderId="6" xfId="0" applyNumberFormat="1" applyBorder="1" applyAlignment="1">
      <alignment horizontal="left"/>
    </xf>
    <xf numFmtId="14" fontId="0" fillId="0" borderId="0" xfId="0" applyNumberFormat="1"/>
    <xf numFmtId="167" fontId="0" fillId="0" borderId="6" xfId="0" applyNumberFormat="1" applyBorder="1" applyAlignment="1">
      <alignment horizontal="left"/>
    </xf>
    <xf numFmtId="167" fontId="0" fillId="0" borderId="13" xfId="0" applyNumberFormat="1" applyBorder="1" applyAlignment="1">
      <alignment horizontal="left"/>
    </xf>
    <xf numFmtId="14" fontId="0" fillId="0" borderId="7" xfId="0" applyNumberFormat="1" applyBorder="1" applyAlignment="1">
      <alignment horizontal="left"/>
    </xf>
    <xf numFmtId="167" fontId="0" fillId="0" borderId="7" xfId="0" applyNumberFormat="1" applyBorder="1" applyAlignment="1">
      <alignment horizontal="left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167" fontId="2" fillId="3" borderId="4" xfId="0" applyNumberFormat="1" applyFont="1" applyFill="1" applyBorder="1" applyAlignment="1">
      <alignment horizontal="center"/>
    </xf>
    <xf numFmtId="167" fontId="2" fillId="3" borderId="8" xfId="0" applyNumberFormat="1" applyFont="1" applyFill="1" applyBorder="1" applyAlignment="1">
      <alignment horizontal="center"/>
    </xf>
    <xf numFmtId="167" fontId="2" fillId="3" borderId="1" xfId="0" applyNumberFormat="1" applyFont="1" applyFill="1" applyBorder="1" applyAlignment="1">
      <alignment horizontal="center"/>
    </xf>
    <xf numFmtId="167" fontId="2" fillId="3" borderId="2" xfId="0" applyNumberFormat="1" applyFont="1" applyFill="1" applyBorder="1" applyAlignment="1">
      <alignment horizontal="center"/>
    </xf>
    <xf numFmtId="167" fontId="2" fillId="3" borderId="3" xfId="0" applyNumberFormat="1" applyFont="1" applyFill="1" applyBorder="1" applyAlignment="1">
      <alignment horizontal="center"/>
    </xf>
    <xf numFmtId="14" fontId="3" fillId="0" borderId="5" xfId="0" applyNumberFormat="1" applyFont="1" applyBorder="1" applyAlignment="1">
      <alignment horizontal="center"/>
    </xf>
    <xf numFmtId="14" fontId="0" fillId="0" borderId="0" xfId="0" applyNumberFormat="1" applyAlignment="1">
      <alignment horizontal="left"/>
    </xf>
    <xf numFmtId="14" fontId="0" fillId="0" borderId="10" xfId="0" applyNumberFormat="1" applyBorder="1" applyAlignment="1">
      <alignment horizontal="left"/>
    </xf>
    <xf numFmtId="0" fontId="10" fillId="0" borderId="9" xfId="0" applyFont="1" applyBorder="1" applyAlignment="1">
      <alignment horizontal="left"/>
    </xf>
  </cellXfs>
  <cellStyles count="1">
    <cellStyle name="Normal" xfId="0" builtinId="0"/>
  </cellStyles>
  <dxfs count="13"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u val="no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u val="no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u val="no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u val="no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u val="no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u val="no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u val="no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u val="no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u val="no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u val="no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u val="no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F35" totalsRowShown="0">
  <autoFilter ref="A1:F35" xr:uid="{00000000-0009-0000-0100-000003000000}"/>
  <tableColumns count="6">
    <tableColumn id="1" xr3:uid="{00000000-0010-0000-0000-000001000000}" name="Product ID" dataDxfId="12"/>
    <tableColumn id="2" xr3:uid="{00000000-0010-0000-0000-000002000000}" name="Product Name" dataDxfId="11"/>
    <tableColumn id="3" xr3:uid="{00000000-0010-0000-0000-000003000000}" name="Brand Name" dataDxfId="10"/>
    <tableColumn id="4" xr3:uid="{00000000-0010-0000-0000-000004000000}" name="Price ($)" dataDxfId="9"/>
    <tableColumn id="5" xr3:uid="{00000000-0010-0000-0000-000005000000}" name="Quantity" dataDxfId="8"/>
    <tableColumn id="6" xr3:uid="{00000000-0010-0000-0000-000006000000}" name="Category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A2:F33" totalsRowShown="0">
  <autoFilter ref="A2:F33" xr:uid="{00000000-0009-0000-0100-000001000000}"/>
  <tableColumns count="6">
    <tableColumn id="1" xr3:uid="{00000000-0010-0000-0100-000001000000}" name="Product ID" dataDxfId="6"/>
    <tableColumn id="2" xr3:uid="{00000000-0010-0000-0100-000002000000}" name="Product Name" dataDxfId="5"/>
    <tableColumn id="3" xr3:uid="{00000000-0010-0000-0100-000003000000}" name="Brand Name" dataDxfId="4"/>
    <tableColumn id="4" xr3:uid="{00000000-0010-0000-0100-000004000000}" name="Price ($)" dataDxfId="3"/>
    <tableColumn id="5" xr3:uid="{00000000-0010-0000-0100-000005000000}" name="Quantity" dataDxfId="2"/>
    <tableColumn id="6" xr3:uid="{00000000-0010-0000-0100-000006000000}" name="Category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workbookViewId="0">
      <selection activeCell="G25" sqref="G25"/>
    </sheetView>
  </sheetViews>
  <sheetFormatPr defaultColWidth="12.5703125" defaultRowHeight="15" customHeight="1"/>
  <cols>
    <col min="1" max="1" width="12.5703125" customWidth="1"/>
    <col min="2" max="2" width="7.42578125" customWidth="1"/>
    <col min="3" max="6" width="12.5703125" customWidth="1"/>
  </cols>
  <sheetData>
    <row r="1" spans="1:11" ht="15.75" customHeight="1">
      <c r="A1" s="28" t="s">
        <v>0</v>
      </c>
    </row>
    <row r="2" spans="1:11" ht="15.75" customHeight="1"/>
    <row r="3" spans="1:11" ht="15.75" customHeight="1">
      <c r="B3" s="29" t="s">
        <v>1</v>
      </c>
    </row>
    <row r="4" spans="1:11" ht="15.75" customHeight="1">
      <c r="C4" s="30" t="s">
        <v>2</v>
      </c>
    </row>
    <row r="5" spans="1:11" ht="15.75" customHeight="1">
      <c r="B5" s="31"/>
      <c r="C5" s="30" t="s">
        <v>3</v>
      </c>
    </row>
    <row r="6" spans="1:11" ht="15.75" customHeight="1">
      <c r="B6" s="31"/>
    </row>
    <row r="7" spans="1:11" ht="15.75" customHeight="1">
      <c r="B7" s="29" t="s">
        <v>4</v>
      </c>
    </row>
    <row r="8" spans="1:11" ht="15.75" customHeight="1">
      <c r="C8" s="30" t="s">
        <v>5</v>
      </c>
    </row>
    <row r="9" spans="1:11" ht="15.75" customHeight="1">
      <c r="C9" s="30" t="s">
        <v>6</v>
      </c>
    </row>
    <row r="10" spans="1:11" ht="15.75" customHeight="1">
      <c r="C10" s="30" t="s">
        <v>7</v>
      </c>
    </row>
    <row r="11" spans="1:11" ht="15.75" customHeight="1">
      <c r="B11" s="31"/>
    </row>
    <row r="12" spans="1:11" ht="15.75" customHeight="1">
      <c r="B12" s="29" t="s">
        <v>8</v>
      </c>
    </row>
    <row r="13" spans="1:11" ht="15.75" customHeight="1">
      <c r="B13" s="29"/>
      <c r="C13" s="30" t="s">
        <v>9</v>
      </c>
    </row>
    <row r="14" spans="1:11" ht="15.75" customHeight="1"/>
    <row r="15" spans="1:11" ht="15.75" customHeight="1">
      <c r="B15" s="29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>
      <c r="B16" s="5"/>
      <c r="C16" s="30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>
      <c r="B17" s="5"/>
      <c r="C17" s="30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>
      <c r="B19" s="29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>
      <c r="B20" s="5"/>
      <c r="C20" s="30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>
      <c r="B21" s="5"/>
      <c r="C21" s="30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>
      <c r="B23" s="29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>
      <c r="B24" s="5"/>
      <c r="C24" s="30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>
      <c r="B25" s="5"/>
      <c r="C25" s="30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>
      <c r="B26" s="5"/>
      <c r="C26" s="30"/>
      <c r="D26" s="5"/>
      <c r="E26" s="5"/>
      <c r="F26" s="5"/>
      <c r="G26" s="5"/>
      <c r="H26" s="5"/>
      <c r="I26" s="5"/>
      <c r="J26" s="5"/>
      <c r="K26" s="5"/>
    </row>
    <row r="27" spans="2:11" ht="15.75" customHeight="1">
      <c r="B27" s="5"/>
      <c r="C27" s="5"/>
      <c r="D27" s="32"/>
      <c r="E27" s="5"/>
      <c r="F27" s="5"/>
      <c r="G27" s="5"/>
      <c r="H27" s="5"/>
      <c r="I27" s="5"/>
      <c r="J27" s="5"/>
      <c r="K27" s="5"/>
    </row>
    <row r="28" spans="2:11" ht="15.75" customHeight="1"/>
    <row r="29" spans="2:11" ht="15.75" customHeight="1"/>
    <row r="30" spans="2:11" ht="15.75" customHeight="1"/>
    <row r="31" spans="2:11" ht="15.75" customHeight="1"/>
    <row r="32" spans="2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000"/>
  <sheetViews>
    <sheetView workbookViewId="0">
      <selection activeCell="H9" sqref="H9"/>
    </sheetView>
  </sheetViews>
  <sheetFormatPr defaultColWidth="12.5703125" defaultRowHeight="15" customHeight="1"/>
  <cols>
    <col min="1" max="1" width="12.5703125" customWidth="1"/>
    <col min="2" max="2" width="16" customWidth="1"/>
    <col min="3" max="3" width="14.42578125" customWidth="1"/>
    <col min="4" max="6" width="12.5703125" customWidth="1"/>
  </cols>
  <sheetData>
    <row r="1" spans="1:6" ht="15.75" customHeight="1">
      <c r="A1" s="3" t="s">
        <v>19</v>
      </c>
      <c r="B1" s="3" t="s">
        <v>20</v>
      </c>
      <c r="C1" s="3" t="s">
        <v>21</v>
      </c>
      <c r="D1" s="3" t="s">
        <v>22</v>
      </c>
      <c r="E1" s="3" t="s">
        <v>23</v>
      </c>
      <c r="F1" s="3" t="s">
        <v>24</v>
      </c>
    </row>
    <row r="2" spans="1:6" ht="15.75" customHeight="1">
      <c r="A2" s="5" t="s">
        <v>25</v>
      </c>
      <c r="B2" s="5" t="s">
        <v>26</v>
      </c>
      <c r="C2" s="5" t="s">
        <v>27</v>
      </c>
      <c r="D2" s="5">
        <v>1000</v>
      </c>
      <c r="E2" s="5">
        <v>30</v>
      </c>
      <c r="F2" s="5" t="s">
        <v>28</v>
      </c>
    </row>
    <row r="3" spans="1:6" ht="15.75" customHeight="1">
      <c r="A3" s="7" t="s">
        <v>29</v>
      </c>
      <c r="B3" s="7" t="s">
        <v>30</v>
      </c>
      <c r="C3" s="7" t="s">
        <v>31</v>
      </c>
      <c r="D3" s="7">
        <v>80</v>
      </c>
      <c r="E3" s="7">
        <v>15</v>
      </c>
      <c r="F3" s="7" t="s">
        <v>32</v>
      </c>
    </row>
    <row r="4" spans="1:6" ht="15.75" customHeight="1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</row>
    <row r="5" spans="1:6" ht="15.75" customHeight="1">
      <c r="A5" s="7" t="s">
        <v>37</v>
      </c>
      <c r="B5" s="7" t="s">
        <v>38</v>
      </c>
      <c r="C5" s="7" t="s">
        <v>39</v>
      </c>
      <c r="D5" s="7">
        <v>900</v>
      </c>
      <c r="E5" s="7">
        <v>25</v>
      </c>
      <c r="F5" s="7" t="s">
        <v>28</v>
      </c>
    </row>
    <row r="6" spans="1:6" ht="15.75" customHeight="1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5"/>
    </row>
    <row r="7" spans="1:6" ht="15.75" customHeight="1">
      <c r="A7" s="7" t="s">
        <v>43</v>
      </c>
      <c r="B7" s="7" t="s">
        <v>44</v>
      </c>
      <c r="C7" s="7" t="s">
        <v>45</v>
      </c>
      <c r="D7" s="7"/>
      <c r="E7" s="7">
        <v>45</v>
      </c>
      <c r="F7" s="7" t="s">
        <v>46</v>
      </c>
    </row>
    <row r="8" spans="1:6" ht="15.75" customHeight="1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5" t="s">
        <v>32</v>
      </c>
    </row>
    <row r="9" spans="1:6" ht="15.75" customHeight="1">
      <c r="A9" s="7" t="s">
        <v>50</v>
      </c>
      <c r="B9" s="7" t="s">
        <v>51</v>
      </c>
      <c r="C9" s="7" t="s">
        <v>52</v>
      </c>
      <c r="D9" s="7">
        <v>90</v>
      </c>
      <c r="E9" s="7">
        <v>35</v>
      </c>
      <c r="F9" s="7" t="s">
        <v>36</v>
      </c>
    </row>
    <row r="10" spans="1:6" ht="15.75" customHeight="1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5" t="s">
        <v>28</v>
      </c>
    </row>
    <row r="11" spans="1:6" ht="15.75" customHeight="1">
      <c r="A11" s="7" t="s">
        <v>56</v>
      </c>
      <c r="B11" s="7" t="s">
        <v>57</v>
      </c>
      <c r="C11" s="7" t="s">
        <v>58</v>
      </c>
      <c r="D11" s="7">
        <v>130</v>
      </c>
      <c r="E11" s="7">
        <v>10</v>
      </c>
      <c r="F11" s="7" t="s">
        <v>59</v>
      </c>
    </row>
    <row r="12" spans="1:6" ht="15.75" customHeight="1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5" t="s">
        <v>28</v>
      </c>
    </row>
    <row r="13" spans="1:6" ht="15.75" customHeight="1">
      <c r="A13" s="7" t="s">
        <v>63</v>
      </c>
      <c r="B13" s="7" t="s">
        <v>30</v>
      </c>
      <c r="C13" s="7" t="s">
        <v>49</v>
      </c>
      <c r="D13" s="7">
        <v>90</v>
      </c>
      <c r="E13" s="7">
        <v>40</v>
      </c>
      <c r="F13" s="7"/>
    </row>
    <row r="14" spans="1:6" ht="15.75" customHeight="1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5"/>
    </row>
    <row r="15" spans="1:6" ht="15.75" customHeight="1">
      <c r="A15" s="7" t="s">
        <v>66</v>
      </c>
      <c r="B15" s="7" t="s">
        <v>67</v>
      </c>
      <c r="C15" s="7" t="s">
        <v>68</v>
      </c>
      <c r="D15" s="7">
        <v>150</v>
      </c>
      <c r="E15" s="7">
        <v>15</v>
      </c>
      <c r="F15" s="7" t="s">
        <v>46</v>
      </c>
    </row>
    <row r="16" spans="1:6" ht="15.75" customHeight="1">
      <c r="A16" s="5" t="s">
        <v>69</v>
      </c>
      <c r="B16" s="5" t="s">
        <v>70</v>
      </c>
      <c r="C16" s="5" t="s">
        <v>71</v>
      </c>
      <c r="D16" s="5">
        <v>250</v>
      </c>
      <c r="E16" s="5">
        <v>20</v>
      </c>
      <c r="F16" s="5" t="s">
        <v>46</v>
      </c>
    </row>
    <row r="17" spans="1:6" ht="15.75" customHeight="1">
      <c r="A17" s="7" t="s">
        <v>72</v>
      </c>
      <c r="B17" s="7" t="s">
        <v>73</v>
      </c>
      <c r="C17" s="7" t="s">
        <v>74</v>
      </c>
      <c r="D17" s="7">
        <v>50</v>
      </c>
      <c r="E17" s="7">
        <v>35</v>
      </c>
      <c r="F17" s="7" t="s">
        <v>75</v>
      </c>
    </row>
    <row r="18" spans="1:6" ht="15.75" customHeight="1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5" t="s">
        <v>46</v>
      </c>
    </row>
    <row r="19" spans="1:6" ht="15.75" customHeight="1">
      <c r="A19" s="7" t="s">
        <v>78</v>
      </c>
      <c r="B19" s="7" t="s">
        <v>26</v>
      </c>
      <c r="C19" s="7" t="s">
        <v>79</v>
      </c>
      <c r="D19" s="7">
        <v>980</v>
      </c>
      <c r="E19" s="7">
        <v>10</v>
      </c>
      <c r="F19" s="7" t="s">
        <v>28</v>
      </c>
    </row>
    <row r="20" spans="1:6" ht="15.75" customHeight="1">
      <c r="A20" s="5" t="s">
        <v>80</v>
      </c>
      <c r="B20" s="5" t="s">
        <v>81</v>
      </c>
      <c r="C20" s="5" t="s">
        <v>82</v>
      </c>
      <c r="D20" s="5">
        <v>150</v>
      </c>
      <c r="E20" s="5">
        <v>15</v>
      </c>
      <c r="F20" s="5" t="s">
        <v>32</v>
      </c>
    </row>
    <row r="21" spans="1:6" ht="15.75" customHeight="1">
      <c r="A21" s="7" t="s">
        <v>83</v>
      </c>
      <c r="B21" s="7" t="s">
        <v>84</v>
      </c>
      <c r="C21" s="7" t="s">
        <v>85</v>
      </c>
      <c r="D21" s="7"/>
      <c r="E21" s="7">
        <v>10</v>
      </c>
      <c r="F21" s="7" t="s">
        <v>59</v>
      </c>
    </row>
    <row r="22" spans="1:6" ht="15.75" customHeight="1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5" t="s">
        <v>28</v>
      </c>
    </row>
    <row r="23" spans="1:6" ht="15.75" customHeight="1">
      <c r="A23" s="7" t="s">
        <v>89</v>
      </c>
      <c r="B23" s="7" t="s">
        <v>90</v>
      </c>
      <c r="C23" s="7" t="s">
        <v>91</v>
      </c>
      <c r="D23" s="7">
        <v>80</v>
      </c>
      <c r="E23" s="7">
        <v>20</v>
      </c>
      <c r="F23" s="7" t="s">
        <v>36</v>
      </c>
    </row>
    <row r="24" spans="1:6" ht="15.75" customHeight="1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5"/>
    </row>
    <row r="25" spans="1:6" ht="15.75" customHeight="1">
      <c r="A25" s="7" t="s">
        <v>72</v>
      </c>
      <c r="B25" s="7" t="s">
        <v>73</v>
      </c>
      <c r="C25" s="7" t="s">
        <v>74</v>
      </c>
      <c r="D25" s="7">
        <v>50</v>
      </c>
      <c r="E25" s="7">
        <v>35</v>
      </c>
      <c r="F25" s="7" t="s">
        <v>75</v>
      </c>
    </row>
    <row r="26" spans="1:6" ht="15.75" customHeight="1">
      <c r="A26" s="5" t="s">
        <v>95</v>
      </c>
      <c r="B26" s="5" t="s">
        <v>96</v>
      </c>
      <c r="C26" s="5" t="s">
        <v>97</v>
      </c>
      <c r="D26" s="5">
        <v>800</v>
      </c>
      <c r="E26" s="5">
        <v>45</v>
      </c>
      <c r="F26" s="5" t="s">
        <v>28</v>
      </c>
    </row>
    <row r="27" spans="1:6" ht="15.75" customHeight="1">
      <c r="A27" s="7" t="s">
        <v>98</v>
      </c>
      <c r="B27" s="7" t="s">
        <v>81</v>
      </c>
      <c r="C27" s="7" t="s">
        <v>99</v>
      </c>
      <c r="D27" s="7"/>
      <c r="E27" s="7">
        <v>25</v>
      </c>
      <c r="F27" s="7" t="s">
        <v>32</v>
      </c>
    </row>
    <row r="28" spans="1:6" ht="15.75" customHeight="1">
      <c r="A28" s="5" t="s">
        <v>100</v>
      </c>
      <c r="B28" s="5" t="s">
        <v>51</v>
      </c>
      <c r="C28" s="5" t="s">
        <v>101</v>
      </c>
      <c r="D28" s="5">
        <v>400</v>
      </c>
      <c r="E28" s="5">
        <v>40</v>
      </c>
      <c r="F28" s="5" t="s">
        <v>36</v>
      </c>
    </row>
    <row r="29" spans="1:6" ht="15.75" customHeight="1">
      <c r="A29" s="7" t="s">
        <v>69</v>
      </c>
      <c r="B29" s="7" t="s">
        <v>70</v>
      </c>
      <c r="C29" s="7" t="s">
        <v>71</v>
      </c>
      <c r="D29" s="7">
        <v>250</v>
      </c>
      <c r="E29" s="7">
        <v>20</v>
      </c>
      <c r="F29" s="7" t="s">
        <v>46</v>
      </c>
    </row>
    <row r="30" spans="1:6" ht="15.75" customHeight="1">
      <c r="A30" s="5" t="s">
        <v>102</v>
      </c>
      <c r="B30" s="5" t="s">
        <v>103</v>
      </c>
      <c r="C30" s="5" t="s">
        <v>104</v>
      </c>
      <c r="D30" s="5">
        <v>60</v>
      </c>
      <c r="E30" s="5">
        <v>30</v>
      </c>
      <c r="F30" s="5" t="s">
        <v>32</v>
      </c>
    </row>
    <row r="31" spans="1:6" ht="15.75" customHeight="1">
      <c r="A31" s="7" t="s">
        <v>105</v>
      </c>
      <c r="B31" s="7" t="s">
        <v>106</v>
      </c>
      <c r="C31" s="7" t="s">
        <v>107</v>
      </c>
      <c r="D31" s="7">
        <v>40</v>
      </c>
      <c r="E31" s="7">
        <v>10</v>
      </c>
      <c r="F31" s="7" t="s">
        <v>36</v>
      </c>
    </row>
    <row r="32" spans="1:6" ht="15.75" customHeight="1">
      <c r="A32" s="5" t="s">
        <v>108</v>
      </c>
      <c r="B32" s="5" t="s">
        <v>93</v>
      </c>
      <c r="C32" s="5" t="s">
        <v>109</v>
      </c>
      <c r="D32" s="5">
        <v>130</v>
      </c>
      <c r="E32" s="5">
        <v>5</v>
      </c>
      <c r="F32" s="5" t="s">
        <v>28</v>
      </c>
    </row>
    <row r="33" spans="1:6" ht="15.75" customHeight="1">
      <c r="A33" s="7" t="s">
        <v>110</v>
      </c>
      <c r="B33" s="7" t="s">
        <v>111</v>
      </c>
      <c r="C33" s="7" t="s">
        <v>112</v>
      </c>
      <c r="D33" s="7">
        <v>50</v>
      </c>
      <c r="E33" s="7">
        <v>50</v>
      </c>
      <c r="F33" s="7" t="s">
        <v>32</v>
      </c>
    </row>
    <row r="34" spans="1:6" ht="15.75" customHeight="1">
      <c r="A34" s="5" t="s">
        <v>60</v>
      </c>
      <c r="B34" s="5" t="s">
        <v>61</v>
      </c>
      <c r="C34" s="5" t="s">
        <v>62</v>
      </c>
      <c r="D34" s="5">
        <v>950</v>
      </c>
      <c r="E34" s="5">
        <v>25</v>
      </c>
      <c r="F34" s="5" t="s">
        <v>28</v>
      </c>
    </row>
    <row r="35" spans="1:6" ht="15.75" customHeight="1">
      <c r="A35" s="7" t="s">
        <v>113</v>
      </c>
      <c r="B35" s="7" t="s">
        <v>114</v>
      </c>
      <c r="C35" s="7" t="s">
        <v>115</v>
      </c>
      <c r="D35" s="7">
        <v>100</v>
      </c>
      <c r="E35" s="7">
        <v>20</v>
      </c>
      <c r="F35" s="7" t="s">
        <v>75</v>
      </c>
    </row>
    <row r="36" spans="1:6" ht="15.75" customHeight="1"/>
    <row r="37" spans="1:6" ht="15.75" customHeight="1"/>
    <row r="38" spans="1:6" ht="15.75" customHeight="1"/>
    <row r="39" spans="1:6" ht="15.75" customHeight="1"/>
    <row r="40" spans="1:6" ht="15.75" customHeight="1"/>
    <row r="41" spans="1:6" ht="15.75" customHeight="1"/>
    <row r="42" spans="1:6" ht="15.75" customHeight="1"/>
    <row r="43" spans="1:6" ht="15.75" customHeight="1"/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V1000"/>
  <sheetViews>
    <sheetView tabSelected="1" zoomScale="96" zoomScaleNormal="96" workbookViewId="0">
      <selection activeCell="U4" sqref="U4"/>
    </sheetView>
  </sheetViews>
  <sheetFormatPr defaultColWidth="12.5703125" defaultRowHeight="15" customHeight="1"/>
  <cols>
    <col min="1" max="1" width="12.5703125" customWidth="1"/>
    <col min="2" max="2" width="16" customWidth="1"/>
    <col min="3" max="3" width="14.42578125" customWidth="1"/>
    <col min="4" max="6" width="12.5703125" customWidth="1"/>
    <col min="8" max="8" width="25.140625" style="1" customWidth="1"/>
    <col min="9" max="9" width="25.140625" customWidth="1"/>
    <col min="11" max="12" width="17.140625" customWidth="1"/>
    <col min="13" max="13" width="7.85546875" customWidth="1"/>
    <col min="14" max="14" width="22.140625" style="23" customWidth="1"/>
    <col min="15" max="15" width="20.42578125" customWidth="1"/>
    <col min="16" max="16" width="22.5703125" style="2" customWidth="1"/>
    <col min="18" max="18" width="17" customWidth="1"/>
    <col min="19" max="19" width="19.85546875" style="23" customWidth="1"/>
    <col min="21" max="21" width="14.140625" customWidth="1"/>
    <col min="22" max="22" width="15.7109375" customWidth="1"/>
  </cols>
  <sheetData>
    <row r="1" spans="1:22" ht="15.75" customHeight="1">
      <c r="A1" s="33" t="s">
        <v>116</v>
      </c>
      <c r="B1" s="34"/>
      <c r="C1" s="34"/>
      <c r="D1" s="34"/>
      <c r="E1" s="34"/>
      <c r="F1" s="35"/>
      <c r="H1" s="36" t="s">
        <v>117</v>
      </c>
      <c r="I1" s="37"/>
      <c r="J1" s="2"/>
      <c r="K1" s="36" t="s">
        <v>118</v>
      </c>
      <c r="L1" s="37"/>
      <c r="M1" s="2"/>
      <c r="N1" s="38" t="s">
        <v>119</v>
      </c>
      <c r="O1" s="39"/>
      <c r="P1" s="40"/>
      <c r="R1" s="38" t="s">
        <v>120</v>
      </c>
      <c r="S1" s="40"/>
      <c r="U1" s="38" t="s">
        <v>121</v>
      </c>
      <c r="V1" s="40"/>
    </row>
    <row r="2" spans="1:22" ht="15.75" customHeight="1" thickBot="1">
      <c r="A2" s="3" t="s">
        <v>19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H2" s="4" t="s">
        <v>22</v>
      </c>
      <c r="I2" s="12" t="s">
        <v>24</v>
      </c>
      <c r="J2" s="1"/>
      <c r="K2" s="13" t="s">
        <v>20</v>
      </c>
      <c r="L2" s="14" t="s">
        <v>24</v>
      </c>
      <c r="M2" s="2"/>
      <c r="N2" s="41" t="s">
        <v>122</v>
      </c>
      <c r="O2" s="14" t="s">
        <v>123</v>
      </c>
      <c r="P2" s="12" t="s">
        <v>124</v>
      </c>
      <c r="R2" s="13" t="s">
        <v>22</v>
      </c>
      <c r="S2" s="41" t="s">
        <v>122</v>
      </c>
      <c r="U2" s="13" t="s">
        <v>22</v>
      </c>
      <c r="V2" s="14" t="s">
        <v>24</v>
      </c>
    </row>
    <row r="3" spans="1:22" ht="15.75" customHeight="1">
      <c r="A3" s="5" t="s">
        <v>25</v>
      </c>
      <c r="B3" s="5" t="s">
        <v>26</v>
      </c>
      <c r="C3" s="5" t="s">
        <v>27</v>
      </c>
      <c r="D3" s="5">
        <v>1000</v>
      </c>
      <c r="E3" s="5">
        <v>30</v>
      </c>
      <c r="F3" s="5" t="s">
        <v>28</v>
      </c>
      <c r="H3" s="6">
        <f>IF(ISBLANK(D3),AVERAGE(D$3:D$33),D3)</f>
        <v>1000</v>
      </c>
      <c r="I3" s="15" t="str">
        <f>IF(ISBLANK(F3), "Unknown", F3)</f>
        <v>Electronics</v>
      </c>
      <c r="J3" s="16"/>
      <c r="K3" s="17" t="str" cm="1">
        <f t="array" ref="K3:K33">PROPER(B3:B33)</f>
        <v>Laptop</v>
      </c>
      <c r="L3" s="15" t="s">
        <v>28</v>
      </c>
      <c r="M3" s="16"/>
      <c r="N3" s="43" t="str">
        <f>TRIM(LEFT(Table1[[#This Row],[Product ID]],6))</f>
        <v>28-JAN</v>
      </c>
      <c r="O3" s="18" t="str">
        <f>RIGHT(Table1[[#This Row],[Product ID]],2)</f>
        <v>US</v>
      </c>
      <c r="P3" s="15" t="str">
        <f>K3&amp;" "&amp;Table1[[#This Row],[Brand Name]]</f>
        <v>Laptop Dell</v>
      </c>
      <c r="R3" s="21">
        <v>1000</v>
      </c>
      <c r="S3" s="22" t="s">
        <v>125</v>
      </c>
      <c r="T3" s="23"/>
      <c r="U3" s="24">
        <v>1000</v>
      </c>
      <c r="V3" s="15" t="s">
        <v>28</v>
      </c>
    </row>
    <row r="4" spans="1:22" ht="15.75" customHeight="1">
      <c r="A4" s="7" t="s">
        <v>29</v>
      </c>
      <c r="B4" s="7" t="s">
        <v>30</v>
      </c>
      <c r="C4" s="7" t="s">
        <v>31</v>
      </c>
      <c r="D4" s="7">
        <v>80</v>
      </c>
      <c r="E4" s="7">
        <v>15</v>
      </c>
      <c r="F4" s="7" t="s">
        <v>32</v>
      </c>
      <c r="H4" s="6">
        <f t="shared" ref="H4:H33" si="0">IF(ISBLANK(D4),AVERAGE(D$3:D$33),D4)</f>
        <v>80</v>
      </c>
      <c r="I4" s="15" t="str">
        <f t="shared" ref="I4:I33" si="1">IF(ISBLANK(F4), "Unknown", F4)</f>
        <v>Fashion</v>
      </c>
      <c r="J4" s="16"/>
      <c r="K4" s="18" t="str">
        <v>Sneakers</v>
      </c>
      <c r="L4" s="15" t="s">
        <v>32</v>
      </c>
      <c r="M4" s="16"/>
      <c r="N4" s="22" t="str">
        <f>TRIM(LEFT(Table1[[#This Row],[Product ID]],6))</f>
        <v>15-FEB</v>
      </c>
      <c r="O4" s="18" t="str">
        <f>RIGHT(Table1[[#This Row],[Product ID]],2)</f>
        <v>US</v>
      </c>
      <c r="P4" s="15" t="str">
        <f>K4&amp;" "&amp;Table1[[#This Row],[Brand Name]]</f>
        <v>Sneakers Nike</v>
      </c>
      <c r="R4" s="21">
        <v>80</v>
      </c>
      <c r="S4" s="22" t="s">
        <v>126</v>
      </c>
      <c r="T4" s="23"/>
      <c r="U4" s="24">
        <v>80</v>
      </c>
      <c r="V4" s="15" t="s">
        <v>32</v>
      </c>
    </row>
    <row r="5" spans="1:22" ht="15.75" customHeight="1">
      <c r="A5" s="5" t="s">
        <v>33</v>
      </c>
      <c r="B5" s="5" t="s">
        <v>34</v>
      </c>
      <c r="C5" s="5" t="s">
        <v>35</v>
      </c>
      <c r="D5" s="5">
        <v>130</v>
      </c>
      <c r="E5" s="5">
        <v>40</v>
      </c>
      <c r="F5" s="5" t="s">
        <v>36</v>
      </c>
      <c r="H5" s="6">
        <f t="shared" si="0"/>
        <v>130</v>
      </c>
      <c r="I5" s="15" t="str">
        <f t="shared" si="1"/>
        <v>Kitchen</v>
      </c>
      <c r="J5" s="16"/>
      <c r="K5" s="18" t="str">
        <v>Coffee Maker</v>
      </c>
      <c r="L5" s="15" t="s">
        <v>28</v>
      </c>
      <c r="M5" s="16"/>
      <c r="N5" s="22" t="str">
        <f>TRIM(LEFT(Table1[[#This Row],[Product ID]],6))</f>
        <v>03-MAR</v>
      </c>
      <c r="O5" s="18" t="str">
        <f>RIGHT(Table1[[#This Row],[Product ID]],2)</f>
        <v>US</v>
      </c>
      <c r="P5" s="15" t="str">
        <f>K5&amp;" "&amp;Table1[[#This Row],[Brand Name]]</f>
        <v>Coffee Maker Keurig</v>
      </c>
      <c r="R5" s="21">
        <v>130</v>
      </c>
      <c r="S5" s="22" t="s">
        <v>127</v>
      </c>
      <c r="T5" s="23"/>
      <c r="U5" s="24">
        <v>130</v>
      </c>
      <c r="V5" s="15" t="s">
        <v>28</v>
      </c>
    </row>
    <row r="6" spans="1:22" ht="15.75" customHeight="1">
      <c r="A6" s="7" t="s">
        <v>37</v>
      </c>
      <c r="B6" s="7" t="s">
        <v>38</v>
      </c>
      <c r="C6" s="7" t="s">
        <v>39</v>
      </c>
      <c r="D6" s="7">
        <v>900</v>
      </c>
      <c r="E6" s="7">
        <v>25</v>
      </c>
      <c r="F6" s="7" t="s">
        <v>28</v>
      </c>
      <c r="H6" s="6">
        <f t="shared" si="0"/>
        <v>900</v>
      </c>
      <c r="I6" s="15" t="str">
        <f t="shared" si="1"/>
        <v>Electronics</v>
      </c>
      <c r="J6" s="16"/>
      <c r="K6" s="18" t="str">
        <v>Smartphone</v>
      </c>
      <c r="L6" s="15" t="s">
        <v>28</v>
      </c>
      <c r="M6" s="16"/>
      <c r="N6" s="22" t="str">
        <f>TRIM(LEFT(Table1[[#This Row],[Product ID]],6))</f>
        <v>11-APR</v>
      </c>
      <c r="O6" s="18" t="str">
        <f>RIGHT(Table1[[#This Row],[Product ID]],2)</f>
        <v>US</v>
      </c>
      <c r="P6" s="15" t="str">
        <f>K6&amp;" "&amp;Table1[[#This Row],[Brand Name]]</f>
        <v>Smartphone Samsung</v>
      </c>
      <c r="R6" s="21">
        <v>900</v>
      </c>
      <c r="S6" s="22" t="s">
        <v>128</v>
      </c>
      <c r="T6" s="23"/>
      <c r="U6" s="24">
        <v>900</v>
      </c>
      <c r="V6" s="15" t="s">
        <v>28</v>
      </c>
    </row>
    <row r="7" spans="1:22" ht="15.75" customHeight="1">
      <c r="A7" s="5" t="s">
        <v>40</v>
      </c>
      <c r="B7" s="5" t="s">
        <v>41</v>
      </c>
      <c r="C7" s="5" t="s">
        <v>42</v>
      </c>
      <c r="D7" s="5">
        <v>70</v>
      </c>
      <c r="E7" s="5">
        <v>20</v>
      </c>
      <c r="F7" s="5"/>
      <c r="H7" s="6">
        <f t="shared" si="0"/>
        <v>70</v>
      </c>
      <c r="I7" s="44" t="str">
        <f t="shared" si="1"/>
        <v>Unknown</v>
      </c>
      <c r="J7" s="16"/>
      <c r="K7" s="18" t="str">
        <v>Backpack</v>
      </c>
      <c r="L7" s="15" t="s">
        <v>32</v>
      </c>
      <c r="M7" s="16"/>
      <c r="N7" s="22" t="str">
        <f>TRIM(LEFT(Table1[[#This Row],[Product ID]],6))</f>
        <v>22-MAY</v>
      </c>
      <c r="O7" s="18" t="str">
        <f>RIGHT(Table1[[#This Row],[Product ID]],2)</f>
        <v>US</v>
      </c>
      <c r="P7" s="15" t="str">
        <f>K7&amp;" "&amp;Table1[[#This Row],[Brand Name]]</f>
        <v>Backpack North Face</v>
      </c>
      <c r="R7" s="21">
        <v>70</v>
      </c>
      <c r="S7" s="22" t="s">
        <v>129</v>
      </c>
      <c r="T7" s="23"/>
      <c r="U7" s="24">
        <v>70</v>
      </c>
      <c r="V7" s="15" t="s">
        <v>32</v>
      </c>
    </row>
    <row r="8" spans="1:22" ht="15.75" customHeight="1">
      <c r="A8" s="7" t="s">
        <v>43</v>
      </c>
      <c r="B8" s="7" t="s">
        <v>44</v>
      </c>
      <c r="C8" s="7" t="s">
        <v>45</v>
      </c>
      <c r="D8" s="7"/>
      <c r="E8" s="7">
        <v>45</v>
      </c>
      <c r="F8" s="7" t="s">
        <v>28</v>
      </c>
      <c r="H8" s="8">
        <f t="shared" si="0"/>
        <v>297.857142857143</v>
      </c>
      <c r="I8" s="15" t="str">
        <f t="shared" si="1"/>
        <v>Electronics</v>
      </c>
      <c r="J8" s="16"/>
      <c r="K8" s="18" t="str">
        <v>Headphones</v>
      </c>
      <c r="L8" s="15" t="s">
        <v>28</v>
      </c>
      <c r="M8" s="16"/>
      <c r="N8" s="22" t="str">
        <f>TRIM(LEFT(Table1[[#This Row],[Product ID]],6))</f>
        <v>07-JUN</v>
      </c>
      <c r="O8" s="18" t="str">
        <f>RIGHT(Table1[[#This Row],[Product ID]],2)</f>
        <v>UK</v>
      </c>
      <c r="P8" s="15" t="str">
        <f>K8&amp;" "&amp;Table1[[#This Row],[Brand Name]]</f>
        <v>Headphones Sony</v>
      </c>
      <c r="R8" s="21">
        <v>297.857142857143</v>
      </c>
      <c r="S8" s="22" t="s">
        <v>130</v>
      </c>
      <c r="T8" s="23"/>
      <c r="U8" s="24">
        <v>297.857142857143</v>
      </c>
      <c r="V8" s="15" t="s">
        <v>28</v>
      </c>
    </row>
    <row r="9" spans="1:22" ht="15.75" customHeight="1">
      <c r="A9" s="5" t="s">
        <v>47</v>
      </c>
      <c r="B9" s="5" t="s">
        <v>48</v>
      </c>
      <c r="C9" s="5" t="s">
        <v>49</v>
      </c>
      <c r="D9" s="5">
        <v>30</v>
      </c>
      <c r="E9" s="5">
        <v>5</v>
      </c>
      <c r="F9" s="5" t="s">
        <v>32</v>
      </c>
      <c r="H9" s="6">
        <f t="shared" si="0"/>
        <v>30</v>
      </c>
      <c r="I9" s="15" t="str">
        <f t="shared" si="1"/>
        <v>Fashion</v>
      </c>
      <c r="J9" s="16"/>
      <c r="K9" s="18" t="str">
        <v>T-Shirt</v>
      </c>
      <c r="L9" s="15" t="s">
        <v>32</v>
      </c>
      <c r="M9" s="16"/>
      <c r="N9" s="22" t="str">
        <f>TRIM(LEFT(Table1[[#This Row],[Product ID]],6))</f>
        <v>19-JUL</v>
      </c>
      <c r="O9" s="18" t="str">
        <f>RIGHT(Table1[[#This Row],[Product ID]],2)</f>
        <v>UK</v>
      </c>
      <c r="P9" s="15" t="str">
        <f>K9&amp;" "&amp;Table1[[#This Row],[Brand Name]]</f>
        <v>T-Shirt Adidas</v>
      </c>
      <c r="R9" s="21">
        <v>30</v>
      </c>
      <c r="S9" s="22" t="s">
        <v>131</v>
      </c>
      <c r="T9" s="23"/>
      <c r="U9" s="24">
        <v>30</v>
      </c>
      <c r="V9" s="15" t="s">
        <v>32</v>
      </c>
    </row>
    <row r="10" spans="1:22" ht="15.75" customHeight="1">
      <c r="A10" s="7" t="s">
        <v>50</v>
      </c>
      <c r="B10" s="7" t="s">
        <v>51</v>
      </c>
      <c r="C10" s="7" t="s">
        <v>52</v>
      </c>
      <c r="D10" s="7">
        <v>90</v>
      </c>
      <c r="E10" s="7">
        <v>35</v>
      </c>
      <c r="F10" s="7" t="s">
        <v>36</v>
      </c>
      <c r="H10" s="6">
        <f t="shared" si="0"/>
        <v>90</v>
      </c>
      <c r="I10" s="15" t="str">
        <f t="shared" si="1"/>
        <v>Kitchen</v>
      </c>
      <c r="J10" s="16"/>
      <c r="K10" s="18" t="str">
        <v>Blender</v>
      </c>
      <c r="L10" s="15" t="s">
        <v>36</v>
      </c>
      <c r="M10" s="16"/>
      <c r="N10" s="22" t="str">
        <f>TRIM(LEFT(Table1[[#This Row],[Product ID]],6))</f>
        <v>23-AUG</v>
      </c>
      <c r="O10" s="18" t="str">
        <f>RIGHT(Table1[[#This Row],[Product ID]],2)</f>
        <v>UK</v>
      </c>
      <c r="P10" s="15" t="str">
        <f>K10&amp;" "&amp;Table1[[#This Row],[Brand Name]]</f>
        <v>Blender Ninja</v>
      </c>
      <c r="R10" s="21">
        <v>90</v>
      </c>
      <c r="S10" s="22" t="s">
        <v>132</v>
      </c>
      <c r="T10" s="23"/>
      <c r="U10" s="24">
        <v>90</v>
      </c>
      <c r="V10" s="15" t="s">
        <v>36</v>
      </c>
    </row>
    <row r="11" spans="1:22" ht="15.75" customHeight="1">
      <c r="A11" s="5" t="s">
        <v>53</v>
      </c>
      <c r="B11" s="5" t="s">
        <v>54</v>
      </c>
      <c r="C11" s="5" t="s">
        <v>55</v>
      </c>
      <c r="D11" s="5">
        <v>500</v>
      </c>
      <c r="E11" s="5">
        <v>50</v>
      </c>
      <c r="F11" s="5" t="s">
        <v>28</v>
      </c>
      <c r="H11" s="6">
        <f t="shared" si="0"/>
        <v>500</v>
      </c>
      <c r="I11" s="15" t="str">
        <f t="shared" si="1"/>
        <v>Electronics</v>
      </c>
      <c r="J11" s="16"/>
      <c r="K11" s="18" t="str">
        <v>Tablet</v>
      </c>
      <c r="L11" s="15" t="s">
        <v>28</v>
      </c>
      <c r="M11" s="16"/>
      <c r="N11" s="22" t="str">
        <f>TRIM(LEFT(Table1[[#This Row],[Product ID]],6))</f>
        <v>05-SEP</v>
      </c>
      <c r="O11" s="18" t="str">
        <f>RIGHT(Table1[[#This Row],[Product ID]],2)</f>
        <v>UK</v>
      </c>
      <c r="P11" s="15" t="str">
        <f>K11&amp;" "&amp;Table1[[#This Row],[Brand Name]]</f>
        <v>Tablet Apple</v>
      </c>
      <c r="R11" s="21">
        <v>500</v>
      </c>
      <c r="S11" s="22" t="s">
        <v>133</v>
      </c>
      <c r="T11" s="23"/>
      <c r="U11" s="24">
        <v>500</v>
      </c>
      <c r="V11" s="15" t="s">
        <v>28</v>
      </c>
    </row>
    <row r="12" spans="1:22" ht="15.75" customHeight="1">
      <c r="A12" s="7" t="s">
        <v>56</v>
      </c>
      <c r="B12" s="7" t="s">
        <v>57</v>
      </c>
      <c r="C12" s="7" t="s">
        <v>58</v>
      </c>
      <c r="D12" s="7">
        <v>130</v>
      </c>
      <c r="E12" s="7">
        <v>10</v>
      </c>
      <c r="F12" s="7" t="s">
        <v>59</v>
      </c>
      <c r="H12" s="6">
        <f t="shared" si="0"/>
        <v>130</v>
      </c>
      <c r="I12" s="15" t="str">
        <f t="shared" si="1"/>
        <v>Outdoor</v>
      </c>
      <c r="J12" s="16"/>
      <c r="K12" s="18" t="str">
        <v>Hiking Boots</v>
      </c>
      <c r="L12" s="15" t="s">
        <v>59</v>
      </c>
      <c r="M12" s="16"/>
      <c r="N12" s="22" t="str">
        <f>TRIM(LEFT(Table1[[#This Row],[Product ID]],6))</f>
        <v>14-OCT</v>
      </c>
      <c r="O12" s="18" t="str">
        <f>RIGHT(Table1[[#This Row],[Product ID]],2)</f>
        <v>UK</v>
      </c>
      <c r="P12" s="15" t="str">
        <f>K12&amp;" "&amp;Table1[[#This Row],[Brand Name]]</f>
        <v>Hiking Boots Timberland</v>
      </c>
      <c r="R12" s="21">
        <v>130</v>
      </c>
      <c r="S12" s="22" t="s">
        <v>134</v>
      </c>
      <c r="T12" s="23"/>
      <c r="U12" s="24">
        <v>130</v>
      </c>
      <c r="V12" s="15" t="s">
        <v>59</v>
      </c>
    </row>
    <row r="13" spans="1:22" ht="15.75" customHeight="1">
      <c r="A13" s="5" t="s">
        <v>60</v>
      </c>
      <c r="B13" s="5" t="s">
        <v>61</v>
      </c>
      <c r="C13" s="5" t="s">
        <v>62</v>
      </c>
      <c r="D13" s="5">
        <v>950</v>
      </c>
      <c r="E13" s="5">
        <v>25</v>
      </c>
      <c r="F13" s="5" t="s">
        <v>28</v>
      </c>
      <c r="H13" s="6">
        <f t="shared" si="0"/>
        <v>950</v>
      </c>
      <c r="I13" s="15" t="str">
        <f t="shared" si="1"/>
        <v>Electronics</v>
      </c>
      <c r="J13" s="16"/>
      <c r="K13" s="18" t="str">
        <v>Laptop</v>
      </c>
      <c r="L13" s="15" t="s">
        <v>28</v>
      </c>
      <c r="M13" s="16"/>
      <c r="N13" s="22" t="str">
        <f>TRIM(LEFT(Table1[[#This Row],[Product ID]],6))</f>
        <v>17-JUN</v>
      </c>
      <c r="O13" s="18" t="str">
        <f>RIGHT(Table1[[#This Row],[Product ID]],2)</f>
        <v>IN</v>
      </c>
      <c r="P13" s="15" t="str">
        <f>K13&amp;" "&amp;Table1[[#This Row],[Brand Name]]</f>
        <v>Laptop HP</v>
      </c>
      <c r="R13" s="21">
        <v>950</v>
      </c>
      <c r="S13" s="22" t="s">
        <v>135</v>
      </c>
      <c r="T13" s="23"/>
      <c r="U13" s="24">
        <v>950</v>
      </c>
      <c r="V13" s="15" t="s">
        <v>28</v>
      </c>
    </row>
    <row r="14" spans="1:22" ht="15.75" customHeight="1">
      <c r="A14" s="7" t="s">
        <v>63</v>
      </c>
      <c r="B14" s="7" t="s">
        <v>30</v>
      </c>
      <c r="C14" s="7" t="s">
        <v>49</v>
      </c>
      <c r="D14" s="7">
        <v>90</v>
      </c>
      <c r="E14" s="7">
        <v>40</v>
      </c>
      <c r="F14" s="7"/>
      <c r="H14" s="6">
        <f t="shared" si="0"/>
        <v>90</v>
      </c>
      <c r="I14" s="44" t="str">
        <f t="shared" si="1"/>
        <v>Unknown</v>
      </c>
      <c r="J14" s="16"/>
      <c r="K14" s="18" t="str">
        <v>Sneakers</v>
      </c>
      <c r="L14" s="15" t="s">
        <v>32</v>
      </c>
      <c r="M14" s="16"/>
      <c r="N14" s="22" t="str">
        <f>TRIM(LEFT(Table1[[#This Row],[Product ID]],6))</f>
        <v>25-NOV</v>
      </c>
      <c r="O14" s="18" t="str">
        <f>RIGHT(Table1[[#This Row],[Product ID]],2)</f>
        <v>AU</v>
      </c>
      <c r="P14" s="15" t="str">
        <f>K14&amp;" "&amp;Table1[[#This Row],[Brand Name]]</f>
        <v>Sneakers Adidas</v>
      </c>
      <c r="R14" s="21">
        <v>90</v>
      </c>
      <c r="S14" s="22" t="s">
        <v>136</v>
      </c>
      <c r="T14" s="23"/>
      <c r="U14" s="24">
        <v>90</v>
      </c>
      <c r="V14" s="15" t="s">
        <v>32</v>
      </c>
    </row>
    <row r="15" spans="1:22" ht="15.75" customHeight="1">
      <c r="A15" s="5" t="s">
        <v>64</v>
      </c>
      <c r="B15" s="5" t="s">
        <v>34</v>
      </c>
      <c r="C15" s="5" t="s">
        <v>65</v>
      </c>
      <c r="D15" s="5">
        <v>120</v>
      </c>
      <c r="E15" s="5">
        <v>35</v>
      </c>
      <c r="F15" s="5"/>
      <c r="H15" s="6">
        <f t="shared" si="0"/>
        <v>120</v>
      </c>
      <c r="I15" s="44" t="str">
        <f t="shared" si="1"/>
        <v>Unknown</v>
      </c>
      <c r="J15" s="16"/>
      <c r="K15" s="18" t="str">
        <v>Coffee Maker</v>
      </c>
      <c r="L15" s="15" t="s">
        <v>28</v>
      </c>
      <c r="M15" s="16"/>
      <c r="N15" s="22" t="str">
        <f>TRIM(LEFT(Table1[[#This Row],[Product ID]],6))</f>
        <v>08-DEC</v>
      </c>
      <c r="O15" s="18" t="str">
        <f>RIGHT(Table1[[#This Row],[Product ID]],2)</f>
        <v>DE</v>
      </c>
      <c r="P15" s="15" t="str">
        <f>K15&amp;" "&amp;Table1[[#This Row],[Brand Name]]</f>
        <v>Coffee Maker Nespresso</v>
      </c>
      <c r="R15" s="21">
        <v>120</v>
      </c>
      <c r="S15" s="22" t="s">
        <v>137</v>
      </c>
      <c r="T15" s="23"/>
      <c r="U15" s="24">
        <v>120</v>
      </c>
      <c r="V15" s="15" t="s">
        <v>28</v>
      </c>
    </row>
    <row r="16" spans="1:22" ht="15.75" customHeight="1">
      <c r="A16" s="7" t="s">
        <v>66</v>
      </c>
      <c r="B16" s="7" t="s">
        <v>67</v>
      </c>
      <c r="C16" s="7" t="s">
        <v>68</v>
      </c>
      <c r="D16" s="7">
        <v>150</v>
      </c>
      <c r="E16" s="7">
        <v>15</v>
      </c>
      <c r="F16" s="7" t="s">
        <v>28</v>
      </c>
      <c r="H16" s="6">
        <f t="shared" si="0"/>
        <v>150</v>
      </c>
      <c r="I16" s="15" t="str">
        <f t="shared" si="1"/>
        <v>Electronics</v>
      </c>
      <c r="J16" s="16"/>
      <c r="K16" s="18" t="str">
        <v>Smartwatch</v>
      </c>
      <c r="L16" s="15" t="s">
        <v>28</v>
      </c>
      <c r="M16" s="16"/>
      <c r="N16" s="22" t="str">
        <f>TRIM(LEFT(Table1[[#This Row],[Product ID]],6))</f>
        <v>18-FEB</v>
      </c>
      <c r="O16" s="18" t="str">
        <f>RIGHT(Table1[[#This Row],[Product ID]],2)</f>
        <v>CA</v>
      </c>
      <c r="P16" s="15" t="str">
        <f>K16&amp;" "&amp;Table1[[#This Row],[Brand Name]]</f>
        <v>Smartwatch Fitbit</v>
      </c>
      <c r="R16" s="21">
        <v>150</v>
      </c>
      <c r="S16" s="22" t="s">
        <v>138</v>
      </c>
      <c r="T16" s="23"/>
      <c r="U16" s="24">
        <v>150</v>
      </c>
      <c r="V16" s="15" t="s">
        <v>28</v>
      </c>
    </row>
    <row r="17" spans="1:22" ht="15.75" customHeight="1">
      <c r="A17" s="5" t="s">
        <v>69</v>
      </c>
      <c r="B17" s="5" t="s">
        <v>70</v>
      </c>
      <c r="C17" s="5" t="s">
        <v>71</v>
      </c>
      <c r="D17" s="5">
        <v>250</v>
      </c>
      <c r="E17" s="5">
        <v>20</v>
      </c>
      <c r="F17" s="5" t="s">
        <v>28</v>
      </c>
      <c r="H17" s="6">
        <f t="shared" si="0"/>
        <v>250</v>
      </c>
      <c r="I17" s="15" t="str">
        <f t="shared" si="1"/>
        <v>Electronics</v>
      </c>
      <c r="J17" s="16"/>
      <c r="K17" s="18" t="str">
        <v>Headphones</v>
      </c>
      <c r="L17" s="15" t="s">
        <v>28</v>
      </c>
      <c r="M17" s="16"/>
      <c r="N17" s="22" t="str">
        <f>TRIM(LEFT(Table1[[#This Row],[Product ID]],6))</f>
        <v>16-APR</v>
      </c>
      <c r="O17" s="18" t="str">
        <f>RIGHT(Table1[[#This Row],[Product ID]],2)</f>
        <v>ES</v>
      </c>
      <c r="P17" s="15" t="str">
        <f>K17&amp;" "&amp;Table1[[#This Row],[Brand Name]]</f>
        <v>Headphones Bose</v>
      </c>
      <c r="R17" s="21">
        <v>250</v>
      </c>
      <c r="S17" s="22" t="s">
        <v>139</v>
      </c>
      <c r="T17" s="23"/>
      <c r="U17" s="24">
        <v>250</v>
      </c>
      <c r="V17" s="15" t="s">
        <v>28</v>
      </c>
    </row>
    <row r="18" spans="1:22" ht="15.75" customHeight="1">
      <c r="A18" s="7" t="s">
        <v>72</v>
      </c>
      <c r="B18" s="7" t="s">
        <v>73</v>
      </c>
      <c r="C18" s="7" t="s">
        <v>74</v>
      </c>
      <c r="D18" s="7">
        <v>50</v>
      </c>
      <c r="E18" s="7">
        <v>35</v>
      </c>
      <c r="F18" s="7" t="s">
        <v>75</v>
      </c>
      <c r="H18" s="6">
        <f t="shared" si="0"/>
        <v>50</v>
      </c>
      <c r="I18" s="15" t="str">
        <f t="shared" si="1"/>
        <v>Accessories</v>
      </c>
      <c r="J18" s="16"/>
      <c r="K18" s="18" t="str">
        <v>Laptop Bag</v>
      </c>
      <c r="L18" s="15" t="s">
        <v>75</v>
      </c>
      <c r="M18" s="16"/>
      <c r="N18" s="22" t="str">
        <f>TRIM(LEFT(Table1[[#This Row],[Product ID]],6))</f>
        <v>21-AUG</v>
      </c>
      <c r="O18" s="18" t="str">
        <f>RIGHT(Table1[[#This Row],[Product ID]],2)</f>
        <v>CA</v>
      </c>
      <c r="P18" s="15" t="str">
        <f>K18&amp;" "&amp;Table1[[#This Row],[Brand Name]]</f>
        <v>Laptop Bag Samsonite</v>
      </c>
      <c r="R18" s="21">
        <v>50</v>
      </c>
      <c r="S18" s="22" t="s">
        <v>140</v>
      </c>
      <c r="T18" s="23"/>
      <c r="U18" s="24">
        <v>50</v>
      </c>
      <c r="V18" s="15" t="s">
        <v>75</v>
      </c>
    </row>
    <row r="19" spans="1:22" ht="15.75" customHeight="1">
      <c r="A19" s="5" t="s">
        <v>76</v>
      </c>
      <c r="B19" s="5" t="s">
        <v>67</v>
      </c>
      <c r="C19" s="5" t="s">
        <v>77</v>
      </c>
      <c r="D19" s="5">
        <v>160</v>
      </c>
      <c r="E19" s="5">
        <v>15</v>
      </c>
      <c r="F19" s="5" t="s">
        <v>28</v>
      </c>
      <c r="H19" s="6">
        <f t="shared" si="0"/>
        <v>160</v>
      </c>
      <c r="I19" s="15" t="str">
        <f t="shared" si="1"/>
        <v>Electronics</v>
      </c>
      <c r="J19" s="16"/>
      <c r="K19" s="18" t="str">
        <v>Smartwatch</v>
      </c>
      <c r="L19" s="15" t="s">
        <v>28</v>
      </c>
      <c r="M19" s="16"/>
      <c r="N19" s="22" t="str">
        <f>TRIM(LEFT(Table1[[#This Row],[Product ID]],6))</f>
        <v>20-AUG</v>
      </c>
      <c r="O19" s="18" t="str">
        <f>RIGHT(Table1[[#This Row],[Product ID]],2)</f>
        <v>CN</v>
      </c>
      <c r="P19" s="15" t="str">
        <f>K19&amp;" "&amp;Table1[[#This Row],[Brand Name]]</f>
        <v>Smartwatch Huawei</v>
      </c>
      <c r="R19" s="21">
        <v>160</v>
      </c>
      <c r="S19" s="22" t="s">
        <v>141</v>
      </c>
      <c r="T19" s="23"/>
      <c r="U19" s="24">
        <v>160</v>
      </c>
      <c r="V19" s="15" t="s">
        <v>28</v>
      </c>
    </row>
    <row r="20" spans="1:22" ht="15.75" customHeight="1">
      <c r="A20" s="7" t="s">
        <v>78</v>
      </c>
      <c r="B20" s="7" t="s">
        <v>26</v>
      </c>
      <c r="C20" s="7" t="s">
        <v>79</v>
      </c>
      <c r="D20" s="7">
        <v>980</v>
      </c>
      <c r="E20" s="7">
        <v>10</v>
      </c>
      <c r="F20" s="7" t="s">
        <v>28</v>
      </c>
      <c r="H20" s="6">
        <f t="shared" si="0"/>
        <v>980</v>
      </c>
      <c r="I20" s="15" t="str">
        <f t="shared" si="1"/>
        <v>Electronics</v>
      </c>
      <c r="J20" s="16"/>
      <c r="K20" s="18" t="str">
        <v>Laptop</v>
      </c>
      <c r="L20" s="15" t="s">
        <v>28</v>
      </c>
      <c r="M20" s="16"/>
      <c r="N20" s="22" t="str">
        <f>TRIM(LEFT(Table1[[#This Row],[Product ID]],6))</f>
        <v>27-JAN</v>
      </c>
      <c r="O20" s="18" t="str">
        <f>RIGHT(Table1[[#This Row],[Product ID]],2)</f>
        <v>IT</v>
      </c>
      <c r="P20" s="15" t="str">
        <f>K20&amp;" "&amp;Table1[[#This Row],[Brand Name]]</f>
        <v>Laptop Asus</v>
      </c>
      <c r="R20" s="21">
        <v>980</v>
      </c>
      <c r="S20" s="22" t="s">
        <v>142</v>
      </c>
      <c r="T20" s="23"/>
      <c r="U20" s="24">
        <v>980</v>
      </c>
      <c r="V20" s="15" t="s">
        <v>28</v>
      </c>
    </row>
    <row r="21" spans="1:22" ht="15.75" customHeight="1">
      <c r="A21" s="5" t="s">
        <v>80</v>
      </c>
      <c r="B21" s="5" t="s">
        <v>81</v>
      </c>
      <c r="C21" s="5" t="s">
        <v>82</v>
      </c>
      <c r="D21" s="5">
        <v>150</v>
      </c>
      <c r="E21" s="5">
        <v>15</v>
      </c>
      <c r="F21" s="5" t="s">
        <v>32</v>
      </c>
      <c r="H21" s="6">
        <f t="shared" si="0"/>
        <v>150</v>
      </c>
      <c r="I21" s="15" t="str">
        <f t="shared" si="1"/>
        <v>Fashion</v>
      </c>
      <c r="J21" s="16"/>
      <c r="K21" s="18" t="str">
        <v>Sunglasses</v>
      </c>
      <c r="L21" s="15" t="s">
        <v>32</v>
      </c>
      <c r="M21" s="16"/>
      <c r="N21" s="22" t="str">
        <f>TRIM(LEFT(Table1[[#This Row],[Product ID]],6))</f>
        <v>01-MAR</v>
      </c>
      <c r="O21" s="18" t="str">
        <f>RIGHT(Table1[[#This Row],[Product ID]],2)</f>
        <v>UK</v>
      </c>
      <c r="P21" s="15" t="str">
        <f>K21&amp;" "&amp;Table1[[#This Row],[Brand Name]]</f>
        <v>Sunglasses Oakley</v>
      </c>
      <c r="R21" s="21">
        <v>150</v>
      </c>
      <c r="S21" s="22" t="s">
        <v>143</v>
      </c>
      <c r="T21" s="23"/>
      <c r="U21" s="24">
        <v>150</v>
      </c>
      <c r="V21" s="15" t="s">
        <v>32</v>
      </c>
    </row>
    <row r="22" spans="1:22" ht="15.75" customHeight="1">
      <c r="A22" s="7" t="s">
        <v>83</v>
      </c>
      <c r="B22" s="7" t="s">
        <v>84</v>
      </c>
      <c r="C22" s="7" t="s">
        <v>85</v>
      </c>
      <c r="D22" s="7"/>
      <c r="E22" s="7">
        <v>10</v>
      </c>
      <c r="F22" s="7" t="s">
        <v>59</v>
      </c>
      <c r="H22" s="8">
        <f t="shared" si="0"/>
        <v>297.857142857143</v>
      </c>
      <c r="I22" s="15" t="str">
        <f t="shared" si="1"/>
        <v>Outdoor</v>
      </c>
      <c r="J22" s="16"/>
      <c r="K22" s="18" t="str">
        <v>Camping Tent</v>
      </c>
      <c r="L22" s="15" t="s">
        <v>59</v>
      </c>
      <c r="M22" s="16"/>
      <c r="N22" s="22" t="str">
        <f>TRIM(LEFT(Table1[[#This Row],[Product ID]],6))</f>
        <v>14-AUG</v>
      </c>
      <c r="O22" s="18" t="str">
        <f>RIGHT(Table1[[#This Row],[Product ID]],2)</f>
        <v>US</v>
      </c>
      <c r="P22" s="15" t="str">
        <f>K22&amp;" "&amp;Table1[[#This Row],[Brand Name]]</f>
        <v>Camping Tent Coleman</v>
      </c>
      <c r="R22" s="21">
        <v>297.857142857143</v>
      </c>
      <c r="S22" s="22" t="s">
        <v>144</v>
      </c>
      <c r="T22" s="23"/>
      <c r="U22" s="24">
        <v>297.857142857143</v>
      </c>
      <c r="V22" s="15" t="s">
        <v>59</v>
      </c>
    </row>
    <row r="23" spans="1:22" ht="15.75" customHeight="1">
      <c r="A23" s="5" t="s">
        <v>86</v>
      </c>
      <c r="B23" s="5" t="s">
        <v>87</v>
      </c>
      <c r="C23" s="5" t="s">
        <v>88</v>
      </c>
      <c r="D23" s="5">
        <v>700</v>
      </c>
      <c r="E23" s="5">
        <v>50</v>
      </c>
      <c r="F23" s="5" t="s">
        <v>28</v>
      </c>
      <c r="H23" s="6">
        <f t="shared" si="0"/>
        <v>700</v>
      </c>
      <c r="I23" s="15" t="str">
        <f t="shared" si="1"/>
        <v>Electronics</v>
      </c>
      <c r="J23" s="16"/>
      <c r="K23" s="18" t="str">
        <v>Camera</v>
      </c>
      <c r="L23" s="15" t="s">
        <v>28</v>
      </c>
      <c r="M23" s="16"/>
      <c r="N23" s="22" t="str">
        <f>TRIM(LEFT(Table1[[#This Row],[Product ID]],6))</f>
        <v>14-MAY</v>
      </c>
      <c r="O23" s="18" t="str">
        <f>RIGHT(Table1[[#This Row],[Product ID]],2)</f>
        <v>RU</v>
      </c>
      <c r="P23" s="15" t="str">
        <f>K23&amp;" "&amp;Table1[[#This Row],[Brand Name]]</f>
        <v>Camera Nikon</v>
      </c>
      <c r="R23" s="21">
        <v>700</v>
      </c>
      <c r="S23" s="22" t="s">
        <v>145</v>
      </c>
      <c r="T23" s="23"/>
      <c r="U23" s="24">
        <v>700</v>
      </c>
      <c r="V23" s="15" t="s">
        <v>28</v>
      </c>
    </row>
    <row r="24" spans="1:22" ht="15.75" customHeight="1">
      <c r="A24" s="7" t="s">
        <v>89</v>
      </c>
      <c r="B24" s="7" t="s">
        <v>90</v>
      </c>
      <c r="C24" s="7" t="s">
        <v>91</v>
      </c>
      <c r="D24" s="7">
        <v>80</v>
      </c>
      <c r="E24" s="7">
        <v>20</v>
      </c>
      <c r="F24" s="7" t="s">
        <v>36</v>
      </c>
      <c r="H24" s="6">
        <f t="shared" si="0"/>
        <v>80</v>
      </c>
      <c r="I24" s="15" t="str">
        <f t="shared" si="1"/>
        <v>Kitchen</v>
      </c>
      <c r="J24" s="16"/>
      <c r="K24" s="18" t="str">
        <v>Microwave</v>
      </c>
      <c r="L24" s="15" t="s">
        <v>36</v>
      </c>
      <c r="M24" s="16"/>
      <c r="N24" s="22" t="str">
        <f>TRIM(LEFT(Table1[[#This Row],[Product ID]],6))</f>
        <v>09-JAN</v>
      </c>
      <c r="O24" s="18" t="str">
        <f>RIGHT(Table1[[#This Row],[Product ID]],2)</f>
        <v>CA</v>
      </c>
      <c r="P24" s="15" t="str">
        <f>K24&amp;" "&amp;Table1[[#This Row],[Brand Name]]</f>
        <v>Microwave Panasonic</v>
      </c>
      <c r="R24" s="21">
        <v>80</v>
      </c>
      <c r="S24" s="22" t="s">
        <v>146</v>
      </c>
      <c r="T24" s="23"/>
      <c r="U24" s="24">
        <v>80</v>
      </c>
      <c r="V24" s="15" t="s">
        <v>36</v>
      </c>
    </row>
    <row r="25" spans="1:22" ht="15.75" customHeight="1">
      <c r="A25" s="5" t="s">
        <v>92</v>
      </c>
      <c r="B25" s="5" t="s">
        <v>93</v>
      </c>
      <c r="C25" s="5" t="s">
        <v>94</v>
      </c>
      <c r="D25" s="5">
        <v>150</v>
      </c>
      <c r="E25" s="5">
        <v>30</v>
      </c>
      <c r="F25" s="5"/>
      <c r="H25" s="6">
        <f t="shared" si="0"/>
        <v>150</v>
      </c>
      <c r="I25" s="44" t="str">
        <f t="shared" si="1"/>
        <v>Unknown</v>
      </c>
      <c r="J25" s="16"/>
      <c r="K25" s="18" t="str">
        <v>Fitness Tracker</v>
      </c>
      <c r="L25" s="15" t="s">
        <v>28</v>
      </c>
      <c r="M25" s="16"/>
      <c r="N25" s="22" t="str">
        <f>TRIM(LEFT(Table1[[#This Row],[Product ID]],6))</f>
        <v>19-JUL</v>
      </c>
      <c r="O25" s="18" t="str">
        <f>RIGHT(Table1[[#This Row],[Product ID]],2)</f>
        <v>BR</v>
      </c>
      <c r="P25" s="15" t="str">
        <f>K25&amp;" "&amp;Table1[[#This Row],[Brand Name]]</f>
        <v>Fitness Tracker Xiaomi</v>
      </c>
      <c r="R25" s="21">
        <v>150</v>
      </c>
      <c r="S25" s="22" t="s">
        <v>131</v>
      </c>
      <c r="T25" s="23"/>
      <c r="U25" s="24">
        <v>150</v>
      </c>
      <c r="V25" s="15" t="s">
        <v>28</v>
      </c>
    </row>
    <row r="26" spans="1:22" ht="15.75" customHeight="1">
      <c r="A26" s="5" t="s">
        <v>95</v>
      </c>
      <c r="B26" s="5" t="s">
        <v>96</v>
      </c>
      <c r="C26" s="5" t="s">
        <v>97</v>
      </c>
      <c r="D26" s="5">
        <v>800</v>
      </c>
      <c r="E26" s="5">
        <v>45</v>
      </c>
      <c r="F26" s="5" t="s">
        <v>28</v>
      </c>
      <c r="H26" s="6">
        <f t="shared" si="0"/>
        <v>800</v>
      </c>
      <c r="I26" s="15" t="str">
        <f t="shared" si="1"/>
        <v>Electronics</v>
      </c>
      <c r="J26" s="16"/>
      <c r="K26" s="18" t="str">
        <v>Smartphone</v>
      </c>
      <c r="L26" s="15" t="s">
        <v>28</v>
      </c>
      <c r="M26" s="16"/>
      <c r="N26" s="22" t="str">
        <f>TRIM(LEFT(Table1[[#This Row],[Product ID]],6))</f>
        <v>29-SEP</v>
      </c>
      <c r="O26" s="18" t="str">
        <f>RIGHT(Table1[[#This Row],[Product ID]],2)</f>
        <v>CA</v>
      </c>
      <c r="P26" s="15" t="str">
        <f>K26&amp;" "&amp;Table1[[#This Row],[Brand Name]]</f>
        <v>Smartphone Google</v>
      </c>
      <c r="R26" s="21">
        <v>800</v>
      </c>
      <c r="S26" s="22" t="s">
        <v>147</v>
      </c>
      <c r="T26" s="23"/>
      <c r="U26" s="24">
        <v>800</v>
      </c>
      <c r="V26" s="15" t="s">
        <v>28</v>
      </c>
    </row>
    <row r="27" spans="1:22" ht="15.75" customHeight="1">
      <c r="A27" s="7" t="s">
        <v>98</v>
      </c>
      <c r="B27" s="7" t="s">
        <v>81</v>
      </c>
      <c r="C27" s="7" t="s">
        <v>99</v>
      </c>
      <c r="D27" s="7"/>
      <c r="E27" s="7">
        <v>25</v>
      </c>
      <c r="F27" s="7" t="s">
        <v>32</v>
      </c>
      <c r="H27" s="8">
        <f t="shared" si="0"/>
        <v>297.857142857143</v>
      </c>
      <c r="I27" s="15" t="str">
        <f t="shared" si="1"/>
        <v>Fashion</v>
      </c>
      <c r="J27" s="16"/>
      <c r="K27" s="18" t="str">
        <v>Sunglasses</v>
      </c>
      <c r="L27" s="15" t="s">
        <v>32</v>
      </c>
      <c r="M27" s="16"/>
      <c r="N27" s="22" t="str">
        <f>TRIM(LEFT(Table1[[#This Row],[Product ID]],6))</f>
        <v>03-JUN</v>
      </c>
      <c r="O27" s="18" t="str">
        <f>RIGHT(Table1[[#This Row],[Product ID]],2)</f>
        <v>CA</v>
      </c>
      <c r="P27" s="15" t="str">
        <f>K27&amp;" "&amp;Table1[[#This Row],[Brand Name]]</f>
        <v>Sunglasses Ray-Ban</v>
      </c>
      <c r="R27" s="21">
        <v>297.857142857143</v>
      </c>
      <c r="S27" s="22" t="s">
        <v>148</v>
      </c>
      <c r="T27" s="23"/>
      <c r="U27" s="24">
        <v>297.857142857143</v>
      </c>
      <c r="V27" s="15" t="s">
        <v>32</v>
      </c>
    </row>
    <row r="28" spans="1:22" ht="15.75" customHeight="1">
      <c r="A28" s="5" t="s">
        <v>100</v>
      </c>
      <c r="B28" s="5" t="s">
        <v>51</v>
      </c>
      <c r="C28" s="5" t="s">
        <v>101</v>
      </c>
      <c r="D28" s="5">
        <v>400</v>
      </c>
      <c r="E28" s="5">
        <v>40</v>
      </c>
      <c r="F28" s="5" t="s">
        <v>36</v>
      </c>
      <c r="H28" s="6">
        <f t="shared" si="0"/>
        <v>400</v>
      </c>
      <c r="I28" s="15" t="str">
        <f t="shared" si="1"/>
        <v>Kitchen</v>
      </c>
      <c r="J28" s="16"/>
      <c r="K28" s="18" t="str">
        <v>Blender</v>
      </c>
      <c r="L28" s="15" t="s">
        <v>36</v>
      </c>
      <c r="M28" s="16"/>
      <c r="N28" s="22" t="str">
        <f>TRIM(LEFT(Table1[[#This Row],[Product ID]],6))</f>
        <v>11-JUL</v>
      </c>
      <c r="O28" s="18" t="str">
        <f>RIGHT(Table1[[#This Row],[Product ID]],2)</f>
        <v>CA</v>
      </c>
      <c r="P28" s="15" t="str">
        <f>K28&amp;" "&amp;Table1[[#This Row],[Brand Name]]</f>
        <v>Blender Vitamix</v>
      </c>
      <c r="R28" s="21">
        <v>400</v>
      </c>
      <c r="S28" s="22" t="s">
        <v>149</v>
      </c>
      <c r="T28" s="23"/>
      <c r="U28" s="24">
        <v>400</v>
      </c>
      <c r="V28" s="15" t="s">
        <v>36</v>
      </c>
    </row>
    <row r="29" spans="1:22" ht="15.75" customHeight="1">
      <c r="A29" s="5" t="s">
        <v>102</v>
      </c>
      <c r="B29" s="5" t="s">
        <v>103</v>
      </c>
      <c r="C29" s="5" t="s">
        <v>104</v>
      </c>
      <c r="D29" s="5">
        <v>60</v>
      </c>
      <c r="E29" s="5">
        <v>30</v>
      </c>
      <c r="F29" s="5" t="s">
        <v>32</v>
      </c>
      <c r="H29" s="6">
        <f t="shared" si="0"/>
        <v>60</v>
      </c>
      <c r="I29" s="15" t="str">
        <f t="shared" si="1"/>
        <v>Fashion</v>
      </c>
      <c r="J29" s="16"/>
      <c r="K29" s="18" t="str">
        <v>Dress</v>
      </c>
      <c r="L29" s="15" t="s">
        <v>32</v>
      </c>
      <c r="M29" s="16"/>
      <c r="N29" s="22" t="str">
        <f>TRIM(LEFT(Table1[[#This Row],[Product ID]],6))</f>
        <v>07-MAR</v>
      </c>
      <c r="O29" s="18" t="str">
        <f>RIGHT(Table1[[#This Row],[Product ID]],2)</f>
        <v>CA</v>
      </c>
      <c r="P29" s="15" t="str">
        <f>K29&amp;" "&amp;Table1[[#This Row],[Brand Name]]</f>
        <v>Dress Zara</v>
      </c>
      <c r="R29" s="21">
        <v>60</v>
      </c>
      <c r="S29" s="22" t="s">
        <v>150</v>
      </c>
      <c r="T29" s="23"/>
      <c r="U29" s="24">
        <v>60</v>
      </c>
      <c r="V29" s="15" t="s">
        <v>32</v>
      </c>
    </row>
    <row r="30" spans="1:22" ht="15.75" customHeight="1">
      <c r="A30" s="7" t="s">
        <v>105</v>
      </c>
      <c r="B30" s="7" t="s">
        <v>106</v>
      </c>
      <c r="C30" s="7" t="s">
        <v>107</v>
      </c>
      <c r="D30" s="7">
        <v>40</v>
      </c>
      <c r="E30" s="7">
        <v>10</v>
      </c>
      <c r="F30" s="7" t="s">
        <v>36</v>
      </c>
      <c r="H30" s="6">
        <f t="shared" si="0"/>
        <v>40</v>
      </c>
      <c r="I30" s="15" t="str">
        <f t="shared" si="1"/>
        <v>Kitchen</v>
      </c>
      <c r="J30" s="16"/>
      <c r="K30" s="18" t="str">
        <v>Toaster</v>
      </c>
      <c r="L30" s="15" t="s">
        <v>36</v>
      </c>
      <c r="M30" s="16"/>
      <c r="N30" s="22" t="str">
        <f>TRIM(LEFT(Table1[[#This Row],[Product ID]],6))</f>
        <v>13-APR</v>
      </c>
      <c r="O30" s="18" t="str">
        <f>RIGHT(Table1[[#This Row],[Product ID]],2)</f>
        <v>CA</v>
      </c>
      <c r="P30" s="15" t="str">
        <f>K30&amp;" "&amp;Table1[[#This Row],[Brand Name]]</f>
        <v>Toaster Hamilton</v>
      </c>
      <c r="R30" s="21">
        <v>40</v>
      </c>
      <c r="S30" s="22" t="s">
        <v>151</v>
      </c>
      <c r="T30" s="23"/>
      <c r="U30" s="24">
        <v>40</v>
      </c>
      <c r="V30" s="15" t="s">
        <v>36</v>
      </c>
    </row>
    <row r="31" spans="1:22" ht="15.75" customHeight="1">
      <c r="A31" s="5" t="s">
        <v>108</v>
      </c>
      <c r="B31" s="5" t="s">
        <v>93</v>
      </c>
      <c r="C31" s="5" t="s">
        <v>109</v>
      </c>
      <c r="D31" s="5">
        <v>130</v>
      </c>
      <c r="E31" s="5">
        <v>5</v>
      </c>
      <c r="F31" s="5" t="s">
        <v>28</v>
      </c>
      <c r="H31" s="6">
        <f t="shared" si="0"/>
        <v>130</v>
      </c>
      <c r="I31" s="15" t="str">
        <f t="shared" si="1"/>
        <v>Electronics</v>
      </c>
      <c r="J31" s="16"/>
      <c r="K31" s="18" t="str">
        <v>Fitness Tracker</v>
      </c>
      <c r="L31" s="15" t="s">
        <v>28</v>
      </c>
      <c r="M31" s="16"/>
      <c r="N31" s="22" t="str">
        <f>TRIM(LEFT(Table1[[#This Row],[Product ID]],6))</f>
        <v>24-MAY</v>
      </c>
      <c r="O31" s="18" t="str">
        <f>RIGHT(Table1[[#This Row],[Product ID]],2)</f>
        <v>CA</v>
      </c>
      <c r="P31" s="15" t="str">
        <f>K31&amp;" "&amp;Table1[[#This Row],[Brand Name]]</f>
        <v>Fitness Tracker Garmin</v>
      </c>
      <c r="R31" s="21">
        <v>130</v>
      </c>
      <c r="S31" s="22" t="s">
        <v>152</v>
      </c>
      <c r="T31" s="23"/>
      <c r="U31" s="24">
        <v>130</v>
      </c>
      <c r="V31" s="15" t="s">
        <v>28</v>
      </c>
    </row>
    <row r="32" spans="1:22" ht="15.75" customHeight="1">
      <c r="A32" s="7" t="s">
        <v>110</v>
      </c>
      <c r="B32" s="7" t="s">
        <v>111</v>
      </c>
      <c r="C32" s="7" t="s">
        <v>112</v>
      </c>
      <c r="D32" s="7">
        <v>50</v>
      </c>
      <c r="E32" s="7">
        <v>50</v>
      </c>
      <c r="F32" s="7" t="s">
        <v>32</v>
      </c>
      <c r="H32" s="6">
        <f t="shared" si="0"/>
        <v>50</v>
      </c>
      <c r="I32" s="15" t="str">
        <f t="shared" si="1"/>
        <v>Fashion</v>
      </c>
      <c r="J32" s="16"/>
      <c r="K32" s="18" t="str">
        <v>Jeans</v>
      </c>
      <c r="L32" s="15" t="s">
        <v>32</v>
      </c>
      <c r="M32" s="16"/>
      <c r="N32" s="22" t="str">
        <f>TRIM(LEFT(Table1[[#This Row],[Product ID]],6))</f>
        <v>02-DEC</v>
      </c>
      <c r="O32" s="18" t="str">
        <f>RIGHT(Table1[[#This Row],[Product ID]],2)</f>
        <v>CA</v>
      </c>
      <c r="P32" s="15" t="str">
        <f>K32&amp;" "&amp;Table1[[#This Row],[Brand Name]]</f>
        <v>Jeans Levi's</v>
      </c>
      <c r="R32" s="21">
        <v>50</v>
      </c>
      <c r="S32" s="22" t="s">
        <v>153</v>
      </c>
      <c r="T32" s="23"/>
      <c r="U32" s="24">
        <v>50</v>
      </c>
      <c r="V32" s="15" t="s">
        <v>32</v>
      </c>
    </row>
    <row r="33" spans="1:22" ht="15.75" customHeight="1" thickBot="1">
      <c r="A33" s="7" t="s">
        <v>113</v>
      </c>
      <c r="B33" s="7" t="s">
        <v>114</v>
      </c>
      <c r="C33" s="7" t="s">
        <v>115</v>
      </c>
      <c r="D33" s="7">
        <v>100</v>
      </c>
      <c r="E33" s="7">
        <v>20</v>
      </c>
      <c r="F33" s="7" t="s">
        <v>75</v>
      </c>
      <c r="H33" s="9">
        <f t="shared" si="0"/>
        <v>100</v>
      </c>
      <c r="I33" s="15" t="str">
        <f t="shared" si="1"/>
        <v>Accessories</v>
      </c>
      <c r="J33" s="16"/>
      <c r="K33" s="20" t="str">
        <v>Watch</v>
      </c>
      <c r="L33" s="19" t="s">
        <v>75</v>
      </c>
      <c r="M33" s="16"/>
      <c r="N33" s="26" t="str">
        <f>TRIM(LEFT(Table1[[#This Row],[Product ID]],6))</f>
        <v>09-JUL</v>
      </c>
      <c r="O33" s="20" t="str">
        <f>RIGHT(Table1[[#This Row],[Product ID]],2)</f>
        <v>FR</v>
      </c>
      <c r="P33" s="19" t="str">
        <f>K33&amp;" "&amp;Table1[[#This Row],[Brand Name]]</f>
        <v>Watch Casio</v>
      </c>
      <c r="R33" s="25">
        <v>100</v>
      </c>
      <c r="S33" s="26" t="s">
        <v>154</v>
      </c>
      <c r="T33" s="23"/>
      <c r="U33" s="27">
        <v>100</v>
      </c>
      <c r="V33" s="19" t="s">
        <v>75</v>
      </c>
    </row>
    <row r="34" spans="1:22" ht="15.75" customHeight="1">
      <c r="D34" s="10"/>
      <c r="H34" s="11"/>
      <c r="I34" s="16"/>
      <c r="J34" s="16"/>
      <c r="K34" s="16"/>
      <c r="L34" s="16"/>
      <c r="M34" s="16"/>
      <c r="N34" s="42"/>
      <c r="O34" s="16"/>
      <c r="P34" s="16"/>
    </row>
    <row r="35" spans="1:22" ht="15.75" customHeight="1">
      <c r="I35" s="2"/>
      <c r="K35" s="2"/>
      <c r="L35" s="2"/>
    </row>
    <row r="36" spans="1:22" ht="15.75" customHeight="1">
      <c r="I36" s="2"/>
      <c r="K36" s="2"/>
      <c r="L36" s="2"/>
    </row>
    <row r="37" spans="1:22" ht="15.75" customHeight="1"/>
    <row r="38" spans="1:22" ht="15.75" customHeight="1"/>
    <row r="39" spans="1:22" ht="15.75" customHeight="1"/>
    <row r="40" spans="1:22" ht="15.75" customHeight="1"/>
    <row r="41" spans="1:22" ht="15.75" customHeight="1"/>
    <row r="42" spans="1:22" ht="15.75" customHeight="1"/>
    <row r="43" spans="1:22" ht="15.75" customHeight="1"/>
    <row r="44" spans="1:22" ht="15.75" customHeight="1"/>
    <row r="45" spans="1:22" ht="15.75" customHeight="1"/>
    <row r="46" spans="1:22" ht="15.75" customHeight="1"/>
    <row r="47" spans="1:22" ht="15.75" customHeight="1"/>
    <row r="48" spans="1:2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U1:V1"/>
    <mergeCell ref="A1:F1"/>
    <mergeCell ref="H1:I1"/>
    <mergeCell ref="K1:L1"/>
    <mergeCell ref="N1:P1"/>
    <mergeCell ref="R1:S1"/>
  </mergeCells>
  <conditionalFormatting sqref="U3:U33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{D53D4BD4-AFD4-4142-A431-6D2CA967B8F2}</x14:id>
        </ext>
      </extLst>
    </cfRule>
  </conditionalFormatting>
  <conditionalFormatting sqref="V3:V33">
    <cfRule type="containsText" dxfId="0" priority="1" operator="containsText" text="Electronics">
      <formula>NOT(ISERROR(SEARCH("Electronics",V3)))</formula>
    </cfRule>
    <cfRule type="containsText" priority="3" operator="containsText" text="Electronics">
      <formula>NOT(ISERROR(SEARCH("Electronics",V3)))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53D4BD4-AFD4-4142-A431-6D2CA967B8F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U3:U33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Answer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Sree Lekha</cp:lastModifiedBy>
  <dcterms:created xsi:type="dcterms:W3CDTF">2025-10-03T13:56:00Z</dcterms:created>
  <dcterms:modified xsi:type="dcterms:W3CDTF">2025-10-04T15:16:04Z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3720A8F57CB34F7C8E2C56E4A0BC856F_12</vt:lpwstr>
  </property>
  <property fmtid="{D5CDD505-2E9C-101B-9397-08002B2CF9AE}" pid="3" name="KSOProductBuildVer">
    <vt:lpwstr>1033-12.2.0.22549</vt:lpwstr>
  </property>
</Properties>
</file>