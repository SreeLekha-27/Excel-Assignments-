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 activeTab="2"/>
  </bookViews>
  <sheets>
    <sheet name="Instructions" sheetId="1" r:id="rId1"/>
    <sheet name="Dataset" sheetId="2" r:id="rId2"/>
    <sheet name="Dataset (Answers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<sst xmlns="http://schemas.openxmlformats.org/spreadsheetml/2006/main" count="335" uniqueCount="144">
  <si>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</si>
  <si>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</si>
  <si>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</si>
  <si>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</si>
  <si>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</si>
  <si>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</si>
  <si>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</si>
  <si>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</si>
  <si>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</si>
  <si>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</si>
  <si>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</si>
  <si>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</si>
  <si>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</si>
  <si>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</si>
  <si>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</si>
  <si>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</si>
  <si>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</si>
  <si>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</si>
  <si>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</si>
  <si>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</si>
  <si>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</si>
  <si>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</si>
  <si>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</si>
  <si>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</si>
  <si>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</si>
  <si>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</si>
  <si>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</si>
  <si>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</si>
  <si>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</si>
  <si>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</si>
  <si>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</si>
  <si>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</si>
  <si>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</si>
  <si>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</si>
  <si>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</si>
  <si>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</si>
  <si>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</si>
  <si>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</si>
  <si>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</si>
  <si>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</si>
  <si>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</si>
  <si>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</si>
  <si>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</si>
  <si>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</si>
  <si>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</si>
  <si>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</si>
  <si>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</si>
  <si>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</si>
  <si>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</si>
  <si>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</si>
  <si>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</si>
  <si>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</si>
  <si>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</si>
  <si>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</si>
  <si>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</si>
  <si>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</si>
  <si>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</si>
  <si>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</si>
  <si>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</si>
  <si>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</si>
  <si>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</si>
  <si>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</si>
  <si>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</si>
  <si>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</si>
  <si>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</si>
  <si>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</si>
  <si>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</si>
  <si>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</si>
  <si>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</si>
  <si>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</si>
  <si>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</si>
  <si>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</si>
  <si>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</si>
  <si>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</si>
  <si>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</si>
  <si>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</si>
  <si>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</si>
  <si>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</si>
  <si>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</si>
  <si>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</si>
  <si>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</si>
  <si>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</si>
  <si>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</si>
  <si>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</si>
  <si>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</si>
  <si>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</si>
  <si>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</si>
  <si>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</si>
  <si>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</si>
  <si>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</si>
  <si>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</si>
  <si>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</si>
  <si>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</si>
  <si>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</si>
  <si>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</si>
  <si>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</si>
  <si>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</si>
  <si>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</si>
  <si>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</si>
  <si>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</si>
  <si>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</si>
  <si>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</si>
  <si>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</si>
  <si>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</si>
  <si>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</si>
  <si>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</si>
  <si>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</si>
  <si>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</si>
  <si>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</si>
  <si>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</si>
  <si>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3) IF Function</t>
  </si>
  <si>
    <t>5) Text Format
ting</t>
  </si>
  <si>
    <t>Left Function</t>
  </si>
  <si>
    <t>Right function</t>
  </si>
  <si>
    <t>Mid Function</t>
  </si>
  <si>
    <t>Categorize products with a price greater than or equal to</t>
  </si>
  <si>
    <t>The first 2 characters of each 'Product ID'</t>
  </si>
  <si>
    <t>Extracting the last 2 characters from the 'Product ID'</t>
  </si>
  <si>
    <t>Extracting 4th to 6th characters from the 'Product ID'</t>
  </si>
  <si>
    <t>Fromula - =IF(D8:D41&gt;=500;"High Price";"Standard Price")</t>
  </si>
  <si>
    <t>Formula - =LEFT(A8;2)</t>
  </si>
  <si>
    <t>Formula - =RIGHT(A8;2)</t>
  </si>
  <si>
    <t>Formula - =MID(A8;4;3)</t>
  </si>
  <si>
    <t>Product Range</t>
  </si>
  <si>
    <t>Day</t>
  </si>
  <si>
    <t>Country Code</t>
  </si>
  <si>
    <t>Month</t>
  </si>
  <si>
    <t>1) Sum, Count, Average</t>
  </si>
  <si>
    <t xml:space="preserve">Total price of all products </t>
  </si>
  <si>
    <t>Formula -  =SUM(D:D)</t>
  </si>
  <si>
    <t>How many products are there in the dataset</t>
  </si>
  <si>
    <t>Formula -  =COUNT(D:D)</t>
  </si>
  <si>
    <t>The average price of the products</t>
  </si>
  <si>
    <t>Formula - =AVERAGE(D:D)</t>
  </si>
  <si>
    <t>2) Min and Max</t>
  </si>
  <si>
    <t>The minimum price among all products</t>
  </si>
  <si>
    <t>Formula - =MIN(D:D)</t>
  </si>
  <si>
    <t>The maximum price among all products</t>
  </si>
  <si>
    <t>Formula - =MAX(D:D)</t>
  </si>
  <si>
    <t>4) SUMIF and COUNTIF</t>
  </si>
  <si>
    <t>The total price for products in the 'Electronics'</t>
  </si>
  <si>
    <t>Formula - =SUMIF(F:F;"Electronics";D:D)</t>
  </si>
  <si>
    <t>The count of products with a price less than $100</t>
  </si>
  <si>
    <t>Formula - =COUNTIF(D:D;"&lt;100")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</si>
</sst>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000_);[Red]\(#,000\)"/>
    <numFmt numFmtId="181" formatCode="[$₹-449]#,##0_);[Red]\([$₹-449]#,##0\)"/>
  </numFmts>
  <fonts count="3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C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name val="Arial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1" fillId="0" borderId="3" xfId="0" applyFont="1" applyBorder="1"/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180" fontId="3" fillId="0" borderId="3" xfId="0" applyNumberFormat="1" applyFont="1" applyBorder="1" applyAlignment="1">
      <alignment horizontal="center"/>
    </xf>
    <xf numFmtId="0" fontId="3" fillId="4" borderId="0" xfId="0" applyFont="1" applyFill="1"/>
    <xf numFmtId="0" fontId="3" fillId="0" borderId="4" xfId="0" applyFont="1" applyBorder="1" applyAlignment="1">
      <alignment horizontal="center"/>
    </xf>
    <xf numFmtId="180" fontId="3" fillId="0" borderId="4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81" fontId="4" fillId="0" borderId="0" xfId="0" applyNumberFormat="1" applyFont="1" applyAlignment="1">
      <alignment horizontal="left"/>
    </xf>
    <xf numFmtId="181" fontId="5" fillId="0" borderId="3" xfId="0" applyNumberFormat="1" applyFont="1" applyBorder="1" applyAlignment="1">
      <alignment horizontal="left" wrapText="1"/>
    </xf>
    <xf numFmtId="181" fontId="6" fillId="0" borderId="3" xfId="0" applyNumberFormat="1" applyFont="1" applyBorder="1" applyAlignment="1">
      <alignment horizontal="left"/>
    </xf>
    <xf numFmtId="181" fontId="4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81" fontId="4" fillId="0" borderId="4" xfId="0" applyNumberFormat="1" applyFont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81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workbookViewId="0">
      <selection activeCell="D24" sqref="D24"/>
    </sheetView>
  </sheetViews>
  <sheetFormatPr defaultColWidth="12.5714285714286" defaultRowHeight="15" customHeight="1" outlineLevelCol="2"/>
  <cols>
    <col min="1" max="1" width="12.5714285714286" customWidth="1"/>
    <col min="2" max="2" width="7.57142857142857" customWidth="1"/>
    <col min="3" max="6" width="12.5714285714286" customWidth="1"/>
  </cols>
  <sheetData>
    <row r="1" ht="15.75" customHeight="1" spans="1:1">
      <c r="A1" s="30" t="s">
        <v>0</v>
      </c>
    </row>
    <row r="2" ht="15.75" customHeight="1"/>
    <row r="3" ht="15.75" customHeight="1" spans="2:2">
      <c r="B3" s="31" t="s">
        <v>1</v>
      </c>
    </row>
    <row r="4" ht="15.75" customHeight="1" spans="2:3">
      <c r="B4" s="31"/>
      <c r="C4" s="32" t="s">
        <v>2</v>
      </c>
    </row>
    <row r="5" ht="15.75" customHeight="1" spans="2:3">
      <c r="B5" s="31"/>
      <c r="C5" s="32" t="s">
        <v>3</v>
      </c>
    </row>
    <row r="6" ht="15.75" customHeight="1" spans="2:3">
      <c r="B6" s="31"/>
      <c r="C6" s="32" t="s">
        <v>4</v>
      </c>
    </row>
    <row r="7" ht="15.75" customHeight="1" spans="2:2">
      <c r="B7" s="33"/>
    </row>
    <row r="8" ht="15.75" customHeight="1" spans="2:2">
      <c r="B8" s="31" t="s">
        <v>5</v>
      </c>
    </row>
    <row r="9" ht="15.75" customHeight="1" spans="3:3">
      <c r="C9" s="32" t="s">
        <v>6</v>
      </c>
    </row>
    <row r="10" ht="15.75" customHeight="1" spans="3:3">
      <c r="C10" s="32" t="s">
        <v>7</v>
      </c>
    </row>
    <row r="11" ht="15.75" customHeight="1" spans="2:2">
      <c r="B11" s="33"/>
    </row>
    <row r="12" ht="15.75" customHeight="1" spans="2:2">
      <c r="B12" s="31" t="s">
        <v>8</v>
      </c>
    </row>
    <row r="13" ht="15.75" customHeight="1" spans="3:3">
      <c r="C13" s="32" t="s">
        <v>9</v>
      </c>
    </row>
    <row r="14" ht="15.75" customHeight="1" spans="2:2">
      <c r="B14" s="33"/>
    </row>
    <row r="15" ht="15.75" customHeight="1" spans="2:2">
      <c r="B15" s="31" t="s">
        <v>10</v>
      </c>
    </row>
    <row r="16" ht="15.75" customHeight="1" spans="3:3">
      <c r="C16" s="32" t="s">
        <v>11</v>
      </c>
    </row>
    <row r="17" ht="15.75" customHeight="1" spans="3:3">
      <c r="C17" s="32" t="s">
        <v>12</v>
      </c>
    </row>
    <row r="18" ht="15.75" customHeight="1" spans="2:2">
      <c r="B18" s="33"/>
    </row>
    <row r="19" ht="15.75" customHeight="1" spans="2:2">
      <c r="B19" s="31" t="s">
        <v>13</v>
      </c>
    </row>
    <row r="20" ht="15.75" customHeight="1" spans="3:3">
      <c r="C20" s="32" t="s">
        <v>14</v>
      </c>
    </row>
    <row r="21" ht="15.75" customHeight="1" spans="3:3">
      <c r="C21" s="32" t="s">
        <v>15</v>
      </c>
    </row>
    <row r="22" ht="15.75" customHeight="1" spans="3:3">
      <c r="C22" s="32" t="s">
        <v>16</v>
      </c>
    </row>
    <row r="23" ht="15.75" customHeight="1" spans="2:2">
      <c r="B23" s="3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0"/>
  <sheetViews>
    <sheetView workbookViewId="0">
      <selection activeCell="J18" sqref="J18"/>
    </sheetView>
  </sheetViews>
  <sheetFormatPr defaultColWidth="12.5714285714286" defaultRowHeight="15" customHeight="1"/>
  <cols>
    <col min="1" max="1" width="12.5714285714286" customWidth="1"/>
    <col min="2" max="2" width="14.1428571428571" customWidth="1"/>
    <col min="3" max="6" width="12.5714285714286" customWidth="1"/>
    <col min="7" max="10" width="15.5714285714286" customWidth="1"/>
    <col min="11" max="11" width="46.1428571428571" customWidth="1"/>
  </cols>
  <sheetData>
    <row r="1" ht="15.75" customHeight="1" spans="1:10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25"/>
      <c r="H1" s="25"/>
      <c r="I1" s="25"/>
      <c r="J1" s="25"/>
    </row>
    <row r="2" ht="15.75" customHeight="1" spans="1:11">
      <c r="A2" s="9" t="s">
        <v>23</v>
      </c>
      <c r="B2" s="9" t="s">
        <v>24</v>
      </c>
      <c r="C2" s="9" t="s">
        <v>25</v>
      </c>
      <c r="D2" s="9">
        <v>1000</v>
      </c>
      <c r="E2" s="9">
        <v>30</v>
      </c>
      <c r="F2" s="9" t="s">
        <v>26</v>
      </c>
      <c r="G2" s="9"/>
      <c r="H2" s="9"/>
      <c r="I2" s="9"/>
      <c r="J2" s="9"/>
      <c r="K2" s="26"/>
    </row>
    <row r="3" ht="15.75" customHeight="1" spans="1:10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G3" s="9"/>
      <c r="H3" s="9"/>
      <c r="I3" s="9"/>
      <c r="J3" s="9"/>
    </row>
    <row r="4" ht="15.75" customHeight="1" spans="1:11">
      <c r="A4" s="9" t="s">
        <v>31</v>
      </c>
      <c r="B4" s="9" t="s">
        <v>32</v>
      </c>
      <c r="C4" s="9" t="s">
        <v>33</v>
      </c>
      <c r="D4" s="9">
        <v>130</v>
      </c>
      <c r="E4" s="9">
        <v>40</v>
      </c>
      <c r="F4" s="9" t="s">
        <v>34</v>
      </c>
      <c r="G4" s="9"/>
      <c r="H4" s="9"/>
      <c r="I4" s="9"/>
      <c r="J4" s="9"/>
      <c r="K4" s="27"/>
    </row>
    <row r="5" ht="15.75" customHeight="1" spans="1:11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G5" s="9"/>
      <c r="H5" s="9"/>
      <c r="I5" s="9"/>
      <c r="J5" s="9"/>
      <c r="K5" s="16"/>
    </row>
    <row r="6" ht="15.75" customHeight="1" spans="1:10">
      <c r="A6" s="9" t="s">
        <v>38</v>
      </c>
      <c r="B6" s="9" t="s">
        <v>39</v>
      </c>
      <c r="C6" s="9" t="s">
        <v>40</v>
      </c>
      <c r="D6" s="9">
        <v>70</v>
      </c>
      <c r="E6" s="9">
        <v>20</v>
      </c>
      <c r="F6" s="9" t="s">
        <v>41</v>
      </c>
      <c r="G6" s="9"/>
      <c r="H6" s="9"/>
      <c r="I6" s="9"/>
      <c r="J6" s="9"/>
    </row>
    <row r="7" ht="15.75" customHeight="1" spans="1:10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G7" s="9"/>
      <c r="H7" s="9"/>
      <c r="I7" s="9"/>
      <c r="J7" s="9"/>
    </row>
    <row r="8" ht="15.75" customHeight="1" spans="1:11">
      <c r="A8" s="9" t="s">
        <v>45</v>
      </c>
      <c r="B8" s="9" t="s">
        <v>46</v>
      </c>
      <c r="C8" s="9" t="s">
        <v>47</v>
      </c>
      <c r="D8" s="9">
        <v>30</v>
      </c>
      <c r="E8" s="9">
        <v>5</v>
      </c>
      <c r="F8" s="9" t="s">
        <v>30</v>
      </c>
      <c r="G8" s="9"/>
      <c r="H8" s="9"/>
      <c r="I8" s="9"/>
      <c r="J8" s="9"/>
      <c r="K8" s="28"/>
    </row>
    <row r="9" ht="15.75" customHeight="1" spans="1:10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  <c r="G9" s="9"/>
      <c r="H9" s="9"/>
      <c r="I9" s="9"/>
      <c r="J9" s="9"/>
    </row>
    <row r="10" ht="15.75" customHeight="1" spans="1:10">
      <c r="A10" s="9" t="s">
        <v>51</v>
      </c>
      <c r="B10" s="9" t="s">
        <v>52</v>
      </c>
      <c r="C10" s="9" t="s">
        <v>53</v>
      </c>
      <c r="D10" s="9">
        <v>500</v>
      </c>
      <c r="E10" s="9">
        <v>50</v>
      </c>
      <c r="F10" s="9" t="s">
        <v>26</v>
      </c>
      <c r="G10" s="9"/>
      <c r="H10" s="9"/>
      <c r="I10" s="9"/>
      <c r="J10" s="9"/>
    </row>
    <row r="11" ht="15.75" customHeight="1" spans="1:11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  <c r="G11" s="9"/>
      <c r="H11" s="9"/>
      <c r="I11" s="9"/>
      <c r="J11" s="9"/>
      <c r="K11" s="16"/>
    </row>
    <row r="12" ht="15.75" customHeight="1" spans="1:10">
      <c r="A12" s="9" t="s">
        <v>57</v>
      </c>
      <c r="B12" s="9" t="s">
        <v>24</v>
      </c>
      <c r="C12" s="9" t="s">
        <v>58</v>
      </c>
      <c r="D12" s="9">
        <v>950</v>
      </c>
      <c r="E12" s="9">
        <v>25</v>
      </c>
      <c r="F12" s="9" t="s">
        <v>26</v>
      </c>
      <c r="G12" s="9"/>
      <c r="H12" s="9"/>
      <c r="I12" s="9"/>
      <c r="J12" s="9"/>
    </row>
    <row r="13" ht="15.75" customHeight="1" spans="1:10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  <c r="G13" s="9"/>
      <c r="H13" s="9"/>
      <c r="I13" s="9"/>
      <c r="J13" s="9"/>
    </row>
    <row r="14" ht="15.75" customHeight="1" spans="1:11">
      <c r="A14" s="9" t="s">
        <v>60</v>
      </c>
      <c r="B14" s="9" t="s">
        <v>32</v>
      </c>
      <c r="C14" s="9" t="s">
        <v>61</v>
      </c>
      <c r="D14" s="9">
        <v>120</v>
      </c>
      <c r="E14" s="9">
        <v>35</v>
      </c>
      <c r="F14" s="9" t="s">
        <v>34</v>
      </c>
      <c r="G14" s="9"/>
      <c r="H14" s="9"/>
      <c r="I14" s="9"/>
      <c r="J14" s="9"/>
      <c r="K14" s="26"/>
    </row>
    <row r="15" ht="15.75" customHeight="1" spans="1:10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  <c r="G15" s="9"/>
      <c r="H15" s="9"/>
      <c r="I15" s="9"/>
      <c r="J15" s="9"/>
    </row>
    <row r="16" ht="15.75" customHeight="1" spans="1:10">
      <c r="A16" s="9" t="s">
        <v>65</v>
      </c>
      <c r="B16" s="9" t="s">
        <v>43</v>
      </c>
      <c r="C16" s="9" t="s">
        <v>66</v>
      </c>
      <c r="D16" s="9">
        <v>250</v>
      </c>
      <c r="E16" s="9">
        <v>20</v>
      </c>
      <c r="F16" s="9" t="s">
        <v>26</v>
      </c>
      <c r="G16" s="9"/>
      <c r="H16" s="9"/>
      <c r="I16" s="9"/>
      <c r="J16" s="9"/>
    </row>
    <row r="17" ht="15.75" customHeight="1" spans="1:11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  <c r="G17" s="9"/>
      <c r="H17" s="9"/>
      <c r="I17" s="9"/>
      <c r="J17" s="9"/>
      <c r="K17" s="16"/>
    </row>
    <row r="18" ht="15.75" customHeight="1" spans="1:10">
      <c r="A18" s="9" t="s">
        <v>71</v>
      </c>
      <c r="B18" s="9" t="s">
        <v>63</v>
      </c>
      <c r="C18" s="9" t="s">
        <v>72</v>
      </c>
      <c r="D18" s="9">
        <v>160</v>
      </c>
      <c r="E18" s="9">
        <v>15</v>
      </c>
      <c r="F18" s="9" t="s">
        <v>26</v>
      </c>
      <c r="G18" s="9"/>
      <c r="H18" s="9"/>
      <c r="I18" s="9"/>
      <c r="J18" s="9"/>
    </row>
    <row r="19" ht="15.75" customHeight="1" spans="1:10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  <c r="G19" s="9"/>
      <c r="H19" s="9"/>
      <c r="I19" s="9"/>
      <c r="J19" s="9"/>
    </row>
    <row r="20" ht="15.75" customHeight="1" spans="1:11">
      <c r="A20" s="9" t="s">
        <v>75</v>
      </c>
      <c r="B20" s="9" t="s">
        <v>76</v>
      </c>
      <c r="C20" s="9" t="s">
        <v>77</v>
      </c>
      <c r="D20" s="9">
        <v>150</v>
      </c>
      <c r="E20" s="9">
        <v>15</v>
      </c>
      <c r="F20" s="9" t="s">
        <v>30</v>
      </c>
      <c r="G20" s="9"/>
      <c r="H20" s="9"/>
      <c r="I20" s="9"/>
      <c r="J20" s="9"/>
      <c r="K20" s="16"/>
    </row>
    <row r="21" ht="15.75" customHeight="1" spans="1:10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  <c r="G21" s="9"/>
      <c r="H21" s="9"/>
      <c r="I21" s="9"/>
      <c r="J21" s="9"/>
    </row>
    <row r="22" ht="15.75" customHeight="1" spans="1:10">
      <c r="A22" s="9" t="s">
        <v>81</v>
      </c>
      <c r="B22" s="9" t="s">
        <v>82</v>
      </c>
      <c r="C22" s="9" t="s">
        <v>83</v>
      </c>
      <c r="D22" s="9">
        <v>700</v>
      </c>
      <c r="E22" s="9">
        <v>50</v>
      </c>
      <c r="F22" s="9" t="s">
        <v>26</v>
      </c>
      <c r="G22" s="9"/>
      <c r="H22" s="9"/>
      <c r="I22" s="9"/>
      <c r="J22" s="9"/>
    </row>
    <row r="23" ht="15.75" customHeight="1" spans="1:11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  <c r="G23" s="9"/>
      <c r="H23" s="9"/>
      <c r="I23" s="9"/>
      <c r="J23" s="9"/>
      <c r="K23" s="29"/>
    </row>
    <row r="24" ht="15.75" customHeight="1" spans="1:10">
      <c r="A24" s="9" t="s">
        <v>87</v>
      </c>
      <c r="B24" s="9" t="s">
        <v>88</v>
      </c>
      <c r="C24" s="9" t="s">
        <v>89</v>
      </c>
      <c r="D24" s="9">
        <v>150</v>
      </c>
      <c r="E24" s="9">
        <v>30</v>
      </c>
      <c r="F24" s="9" t="s">
        <v>26</v>
      </c>
      <c r="G24" s="9"/>
      <c r="H24" s="9"/>
      <c r="I24" s="9"/>
      <c r="J24" s="9"/>
    </row>
    <row r="25" ht="15.75" customHeight="1" spans="1:10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  <c r="G25" s="9"/>
      <c r="H25" s="9"/>
      <c r="I25" s="9"/>
      <c r="J25" s="9"/>
    </row>
    <row r="26" ht="15.75" customHeight="1" spans="1:10">
      <c r="A26" s="9" t="s">
        <v>90</v>
      </c>
      <c r="B26" s="9" t="s">
        <v>36</v>
      </c>
      <c r="C26" s="9" t="s">
        <v>91</v>
      </c>
      <c r="D26" s="9">
        <v>800</v>
      </c>
      <c r="E26" s="9">
        <v>45</v>
      </c>
      <c r="F26" s="9" t="s">
        <v>26</v>
      </c>
      <c r="G26" s="9"/>
      <c r="H26" s="9"/>
      <c r="I26" s="9"/>
      <c r="J26" s="9"/>
    </row>
    <row r="27" ht="15.75" customHeight="1" spans="1:11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  <c r="G27" s="9"/>
      <c r="H27" s="9"/>
      <c r="I27" s="9"/>
      <c r="J27" s="9"/>
      <c r="K27" s="16"/>
    </row>
    <row r="28" ht="15.75" customHeight="1" spans="1:10">
      <c r="A28" s="9" t="s">
        <v>94</v>
      </c>
      <c r="B28" s="9" t="s">
        <v>49</v>
      </c>
      <c r="C28" s="9" t="s">
        <v>95</v>
      </c>
      <c r="D28" s="9">
        <v>400</v>
      </c>
      <c r="E28" s="9">
        <v>40</v>
      </c>
      <c r="F28" s="9" t="s">
        <v>34</v>
      </c>
      <c r="G28" s="9"/>
      <c r="H28" s="9"/>
      <c r="I28" s="9"/>
      <c r="J28" s="9"/>
    </row>
    <row r="29" ht="15.75" customHeight="1" spans="1:10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  <c r="G29" s="9"/>
      <c r="H29" s="9"/>
      <c r="I29" s="9"/>
      <c r="J29" s="9"/>
    </row>
    <row r="30" ht="15.75" customHeight="1" spans="1:10">
      <c r="A30" s="9" t="s">
        <v>96</v>
      </c>
      <c r="B30" s="9" t="s">
        <v>97</v>
      </c>
      <c r="C30" s="9" t="s">
        <v>98</v>
      </c>
      <c r="D30" s="9">
        <v>60</v>
      </c>
      <c r="E30" s="9">
        <v>30</v>
      </c>
      <c r="F30" s="9" t="s">
        <v>30</v>
      </c>
      <c r="G30" s="9"/>
      <c r="H30" s="9"/>
      <c r="I30" s="9"/>
      <c r="J30" s="9"/>
    </row>
    <row r="31" ht="15.75" customHeight="1" spans="1:11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  <c r="G31" s="9"/>
      <c r="H31" s="9"/>
      <c r="I31" s="9"/>
      <c r="J31" s="9"/>
      <c r="K31" s="28"/>
    </row>
    <row r="32" ht="15.75" customHeight="1" spans="1:10">
      <c r="A32" s="9" t="s">
        <v>102</v>
      </c>
      <c r="B32" s="9" t="s">
        <v>88</v>
      </c>
      <c r="C32" s="9" t="s">
        <v>103</v>
      </c>
      <c r="D32" s="9">
        <v>130</v>
      </c>
      <c r="E32" s="9">
        <v>5</v>
      </c>
      <c r="F32" s="9" t="s">
        <v>26</v>
      </c>
      <c r="G32" s="9"/>
      <c r="H32" s="9"/>
      <c r="I32" s="9"/>
      <c r="J32" s="9"/>
    </row>
    <row r="33" ht="15.75" customHeight="1" spans="1:10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  <c r="G33" s="9"/>
      <c r="H33" s="9"/>
      <c r="I33" s="9"/>
      <c r="J33" s="9"/>
    </row>
    <row r="34" ht="15.75" customHeight="1" spans="1:10">
      <c r="A34" s="9" t="s">
        <v>57</v>
      </c>
      <c r="B34" s="9" t="s">
        <v>24</v>
      </c>
      <c r="C34" s="9" t="s">
        <v>58</v>
      </c>
      <c r="D34" s="9">
        <v>950</v>
      </c>
      <c r="E34" s="9">
        <v>25</v>
      </c>
      <c r="F34" s="9" t="s">
        <v>26</v>
      </c>
      <c r="G34" s="9"/>
      <c r="H34" s="9"/>
      <c r="I34" s="9"/>
      <c r="J34" s="9"/>
    </row>
    <row r="35" ht="15.75" customHeight="1" spans="1:10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  <c r="G35" s="9"/>
      <c r="H35" s="9"/>
      <c r="I35" s="9"/>
      <c r="J35" s="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M1006"/>
  <sheetViews>
    <sheetView tabSelected="1" zoomScale="110" zoomScaleNormal="110" workbookViewId="0">
      <selection activeCell="E5" sqref="E5"/>
    </sheetView>
  </sheetViews>
  <sheetFormatPr defaultColWidth="12.5714285714286" defaultRowHeight="15" customHeight="1"/>
  <cols>
    <col min="1" max="1" width="12.5714285714286" customWidth="1"/>
    <col min="2" max="2" width="14.1428571428571" customWidth="1"/>
    <col min="3" max="6" width="12.5714285714286" customWidth="1"/>
    <col min="7" max="7" width="55.1428571428571" customWidth="1"/>
    <col min="8" max="8" width="38.5714285714286" customWidth="1"/>
    <col min="9" max="9" width="49" customWidth="1"/>
    <col min="10" max="10" width="49.1428571428571" customWidth="1"/>
    <col min="11" max="11" width="14.5714285714286" customWidth="1"/>
    <col min="12" max="12" width="46.1428571428571" customWidth="1"/>
    <col min="13" max="13" width="37.1428571428571" customWidth="1"/>
    <col min="15" max="15" width="46.1428571428571" customWidth="1"/>
  </cols>
  <sheetData>
    <row r="2" customHeight="1" spans="7:10">
      <c r="G2" s="1" t="s">
        <v>110</v>
      </c>
      <c r="H2" s="2"/>
      <c r="I2" s="1" t="s">
        <v>111</v>
      </c>
      <c r="J2" s="2"/>
    </row>
    <row r="3" customHeight="1" spans="7:10">
      <c r="G3" s="3"/>
      <c r="H3" s="4" t="s">
        <v>112</v>
      </c>
      <c r="I3" s="4" t="s">
        <v>113</v>
      </c>
      <c r="J3" s="4" t="s">
        <v>114</v>
      </c>
    </row>
    <row r="4" customHeight="1" spans="7:10">
      <c r="G4" s="5" t="s">
        <v>115</v>
      </c>
      <c r="H4" s="3" t="s">
        <v>116</v>
      </c>
      <c r="I4" s="3" t="s">
        <v>117</v>
      </c>
      <c r="J4" s="3" t="s">
        <v>118</v>
      </c>
    </row>
    <row r="5" customHeight="1" spans="7:10">
      <c r="G5" s="6" t="s">
        <v>119</v>
      </c>
      <c r="H5" s="6" t="s">
        <v>120</v>
      </c>
      <c r="I5" s="6" t="s">
        <v>121</v>
      </c>
      <c r="J5" s="6" t="s">
        <v>122</v>
      </c>
    </row>
    <row r="6" customHeight="1" spans="7:10">
      <c r="G6" s="3"/>
      <c r="H6" s="3"/>
      <c r="I6" s="3"/>
      <c r="J6" s="3"/>
    </row>
    <row r="7" ht="15.75" customHeight="1" spans="1:13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8" t="s">
        <v>123</v>
      </c>
      <c r="H7" s="8" t="s">
        <v>124</v>
      </c>
      <c r="I7" s="8" t="s">
        <v>125</v>
      </c>
      <c r="J7" s="8" t="s">
        <v>126</v>
      </c>
      <c r="L7" s="15" t="s">
        <v>127</v>
      </c>
      <c r="M7" s="16"/>
    </row>
    <row r="8" ht="15.75" customHeight="1" spans="1:12">
      <c r="A8" s="9" t="s">
        <v>23</v>
      </c>
      <c r="B8" s="9" t="s">
        <v>24</v>
      </c>
      <c r="C8" s="9" t="s">
        <v>25</v>
      </c>
      <c r="D8" s="9">
        <v>1000</v>
      </c>
      <c r="E8" s="9">
        <v>30</v>
      </c>
      <c r="F8" s="9" t="s">
        <v>26</v>
      </c>
      <c r="G8" s="10" t="str" cm="1">
        <f t="array" ref="G8:G41">IF(D8:D41&gt;=500,"High Price","Standard Price")</f>
        <v>High Price</v>
      </c>
      <c r="H8" s="11" t="str" cm="1">
        <f t="array" ref="H8:H41">LEFT(A8:A41,2)</f>
        <v>28</v>
      </c>
      <c r="I8" s="10" t="str">
        <f>RIGHT(A8,2)</f>
        <v>US</v>
      </c>
      <c r="J8" s="10" t="str">
        <f>MID(A8,4,3)</f>
        <v>JAN</v>
      </c>
      <c r="L8" s="3"/>
    </row>
    <row r="9" ht="15.75" customHeight="1" spans="1:12">
      <c r="A9" s="12" t="s">
        <v>27</v>
      </c>
      <c r="B9" s="12" t="s">
        <v>28</v>
      </c>
      <c r="C9" s="12" t="s">
        <v>29</v>
      </c>
      <c r="D9" s="12">
        <v>80</v>
      </c>
      <c r="E9" s="12">
        <v>15</v>
      </c>
      <c r="F9" s="12" t="s">
        <v>30</v>
      </c>
      <c r="G9" s="10" t="str">
        <v>Standard Price</v>
      </c>
      <c r="H9" s="11" t="str">
        <v>15</v>
      </c>
      <c r="I9" s="10" t="str">
        <f t="shared" ref="I9:I41" si="0">RIGHT(A9,2)</f>
        <v>US</v>
      </c>
      <c r="J9" s="10" t="str">
        <f t="shared" ref="J9:J41" si="1">MID(A9,4,3)</f>
        <v>FEB</v>
      </c>
      <c r="L9" s="17" t="s">
        <v>128</v>
      </c>
    </row>
    <row r="10" ht="15.75" customHeight="1" spans="1:13">
      <c r="A10" s="9" t="s">
        <v>31</v>
      </c>
      <c r="B10" s="9" t="s">
        <v>32</v>
      </c>
      <c r="C10" s="9" t="s">
        <v>33</v>
      </c>
      <c r="D10" s="9">
        <v>130</v>
      </c>
      <c r="E10" s="9">
        <v>40</v>
      </c>
      <c r="F10" s="9" t="s">
        <v>34</v>
      </c>
      <c r="G10" s="10" t="str">
        <v>Standard Price</v>
      </c>
      <c r="H10" s="11" t="str">
        <v>03</v>
      </c>
      <c r="I10" s="10" t="str">
        <f t="shared" si="0"/>
        <v>US</v>
      </c>
      <c r="J10" s="10" t="str">
        <f t="shared" si="1"/>
        <v>MAR</v>
      </c>
      <c r="L10" s="18" t="s">
        <v>129</v>
      </c>
      <c r="M10" s="16"/>
    </row>
    <row r="11" ht="15.75" customHeight="1" spans="1:12">
      <c r="A11" s="12" t="s">
        <v>35</v>
      </c>
      <c r="B11" s="12" t="s">
        <v>36</v>
      </c>
      <c r="C11" s="12" t="s">
        <v>37</v>
      </c>
      <c r="D11" s="12">
        <v>900</v>
      </c>
      <c r="E11" s="12">
        <v>25</v>
      </c>
      <c r="F11" s="12" t="s">
        <v>26</v>
      </c>
      <c r="G11" s="10" t="str">
        <v>High Price</v>
      </c>
      <c r="H11" s="11" t="str">
        <v>11</v>
      </c>
      <c r="I11" s="10" t="str">
        <f t="shared" si="0"/>
        <v>US</v>
      </c>
      <c r="J11" s="10" t="str">
        <f t="shared" si="1"/>
        <v>APR</v>
      </c>
      <c r="L11" s="19">
        <f>SUM(D:D)</f>
        <v>10100</v>
      </c>
    </row>
    <row r="12" ht="15.75" customHeight="1" spans="1:12">
      <c r="A12" s="9" t="s">
        <v>38</v>
      </c>
      <c r="B12" s="9" t="s">
        <v>39</v>
      </c>
      <c r="C12" s="9" t="s">
        <v>40</v>
      </c>
      <c r="D12" s="9">
        <v>70</v>
      </c>
      <c r="E12" s="9">
        <v>20</v>
      </c>
      <c r="F12" s="9" t="s">
        <v>41</v>
      </c>
      <c r="G12" s="10" t="str">
        <v>Standard Price</v>
      </c>
      <c r="H12" s="11" t="str">
        <v>22</v>
      </c>
      <c r="I12" s="10" t="str">
        <f t="shared" si="0"/>
        <v>US</v>
      </c>
      <c r="J12" s="10" t="str">
        <f t="shared" si="1"/>
        <v>MAY</v>
      </c>
      <c r="L12" s="3"/>
    </row>
    <row r="13" ht="15.75" customHeight="1" spans="1:12">
      <c r="A13" s="12" t="s">
        <v>42</v>
      </c>
      <c r="B13" s="12" t="s">
        <v>43</v>
      </c>
      <c r="C13" s="12" t="s">
        <v>44</v>
      </c>
      <c r="D13" s="12">
        <v>200</v>
      </c>
      <c r="E13" s="12">
        <v>45</v>
      </c>
      <c r="F13" s="12" t="s">
        <v>26</v>
      </c>
      <c r="G13" s="10" t="str">
        <v>Standard Price</v>
      </c>
      <c r="H13" s="11" t="str">
        <v>07</v>
      </c>
      <c r="I13" s="10" t="str">
        <f t="shared" si="0"/>
        <v>UK</v>
      </c>
      <c r="J13" s="10" t="str">
        <f t="shared" si="1"/>
        <v>JUN</v>
      </c>
      <c r="L13" s="3" t="s">
        <v>130</v>
      </c>
    </row>
    <row r="14" ht="15.75" customHeight="1" spans="1:12">
      <c r="A14" s="9" t="s">
        <v>45</v>
      </c>
      <c r="B14" s="9" t="s">
        <v>46</v>
      </c>
      <c r="C14" s="9" t="s">
        <v>47</v>
      </c>
      <c r="D14" s="9">
        <v>30</v>
      </c>
      <c r="E14" s="9">
        <v>5</v>
      </c>
      <c r="F14" s="9" t="s">
        <v>30</v>
      </c>
      <c r="G14" s="10" t="str">
        <v>Standard Price</v>
      </c>
      <c r="H14" s="11" t="str">
        <v>19</v>
      </c>
      <c r="I14" s="10" t="str">
        <f t="shared" si="0"/>
        <v>UK</v>
      </c>
      <c r="J14" s="10" t="str">
        <f t="shared" si="1"/>
        <v>JUL</v>
      </c>
      <c r="L14" s="20" t="s">
        <v>131</v>
      </c>
    </row>
    <row r="15" ht="15.75" customHeight="1" spans="1:12">
      <c r="A15" s="12" t="s">
        <v>48</v>
      </c>
      <c r="B15" s="12" t="s">
        <v>49</v>
      </c>
      <c r="C15" s="12" t="s">
        <v>50</v>
      </c>
      <c r="D15" s="12">
        <v>90</v>
      </c>
      <c r="E15" s="12">
        <v>35</v>
      </c>
      <c r="F15" s="12" t="s">
        <v>34</v>
      </c>
      <c r="G15" s="10" t="str">
        <v>Standard Price</v>
      </c>
      <c r="H15" s="11" t="str">
        <v>23</v>
      </c>
      <c r="I15" s="10" t="str">
        <f t="shared" si="0"/>
        <v>UK</v>
      </c>
      <c r="J15" s="10" t="str">
        <f t="shared" si="1"/>
        <v>AUG</v>
      </c>
      <c r="L15" s="21">
        <f>COUNT(D:D)</f>
        <v>34</v>
      </c>
    </row>
    <row r="16" ht="15.75" customHeight="1" spans="1:12">
      <c r="A16" s="9" t="s">
        <v>51</v>
      </c>
      <c r="B16" s="9" t="s">
        <v>52</v>
      </c>
      <c r="C16" s="9" t="s">
        <v>53</v>
      </c>
      <c r="D16" s="9">
        <v>500</v>
      </c>
      <c r="E16" s="9">
        <v>50</v>
      </c>
      <c r="F16" s="9" t="s">
        <v>26</v>
      </c>
      <c r="G16" s="10" t="str">
        <v>High Price</v>
      </c>
      <c r="H16" s="11" t="str">
        <v>05</v>
      </c>
      <c r="I16" s="10" t="str">
        <f t="shared" si="0"/>
        <v>UK</v>
      </c>
      <c r="J16" s="10" t="str">
        <f t="shared" si="1"/>
        <v>SEP</v>
      </c>
      <c r="L16" s="3"/>
    </row>
    <row r="17" ht="15.75" customHeight="1" spans="1:12">
      <c r="A17" s="12" t="s">
        <v>54</v>
      </c>
      <c r="B17" s="12" t="s">
        <v>55</v>
      </c>
      <c r="C17" s="12" t="s">
        <v>56</v>
      </c>
      <c r="D17" s="12">
        <v>130</v>
      </c>
      <c r="E17" s="12">
        <v>10</v>
      </c>
      <c r="F17" s="12" t="s">
        <v>41</v>
      </c>
      <c r="G17" s="10" t="str">
        <v>Standard Price</v>
      </c>
      <c r="H17" s="11" t="str">
        <v>14</v>
      </c>
      <c r="I17" s="10" t="str">
        <f t="shared" si="0"/>
        <v>UK</v>
      </c>
      <c r="J17" s="10" t="str">
        <f t="shared" si="1"/>
        <v>OCT</v>
      </c>
      <c r="L17" s="3" t="s">
        <v>132</v>
      </c>
    </row>
    <row r="18" ht="15.75" customHeight="1" spans="1:12">
      <c r="A18" s="9" t="s">
        <v>57</v>
      </c>
      <c r="B18" s="9" t="s">
        <v>24</v>
      </c>
      <c r="C18" s="9" t="s">
        <v>58</v>
      </c>
      <c r="D18" s="9">
        <v>950</v>
      </c>
      <c r="E18" s="9">
        <v>25</v>
      </c>
      <c r="F18" s="9" t="s">
        <v>26</v>
      </c>
      <c r="G18" s="10" t="str">
        <v>High Price</v>
      </c>
      <c r="H18" s="11" t="str">
        <v>17</v>
      </c>
      <c r="I18" s="10" t="str">
        <f t="shared" si="0"/>
        <v>IN</v>
      </c>
      <c r="J18" s="10" t="str">
        <f t="shared" si="1"/>
        <v>JUN</v>
      </c>
      <c r="L18" s="18" t="s">
        <v>133</v>
      </c>
    </row>
    <row r="19" ht="15.75" customHeight="1" spans="1:12">
      <c r="A19" s="12" t="s">
        <v>59</v>
      </c>
      <c r="B19" s="12" t="s">
        <v>28</v>
      </c>
      <c r="C19" s="12" t="s">
        <v>47</v>
      </c>
      <c r="D19" s="12">
        <v>90</v>
      </c>
      <c r="E19" s="12">
        <v>40</v>
      </c>
      <c r="F19" s="12" t="s">
        <v>30</v>
      </c>
      <c r="G19" s="10" t="str">
        <v>Standard Price</v>
      </c>
      <c r="H19" s="11" t="str">
        <v>25</v>
      </c>
      <c r="I19" s="10" t="str">
        <f t="shared" si="0"/>
        <v>AU</v>
      </c>
      <c r="J19" s="10" t="str">
        <f t="shared" si="1"/>
        <v>NOV</v>
      </c>
      <c r="L19" s="22">
        <f>AVERAGE(D:D)</f>
        <v>297.058823529412</v>
      </c>
    </row>
    <row r="20" ht="15.75" customHeight="1" spans="1:10">
      <c r="A20" s="9" t="s">
        <v>60</v>
      </c>
      <c r="B20" s="9" t="s">
        <v>32</v>
      </c>
      <c r="C20" s="9" t="s">
        <v>61</v>
      </c>
      <c r="D20" s="9">
        <v>120</v>
      </c>
      <c r="E20" s="9">
        <v>35</v>
      </c>
      <c r="F20" s="9" t="s">
        <v>34</v>
      </c>
      <c r="G20" s="10" t="str">
        <v>Standard Price</v>
      </c>
      <c r="H20" s="11" t="str">
        <v>08</v>
      </c>
      <c r="I20" s="10" t="str">
        <f t="shared" si="0"/>
        <v>DE</v>
      </c>
      <c r="J20" s="10" t="str">
        <f t="shared" si="1"/>
        <v>DEC</v>
      </c>
    </row>
    <row r="21" ht="15.75" customHeight="1" spans="1:10">
      <c r="A21" s="12" t="s">
        <v>62</v>
      </c>
      <c r="B21" s="12" t="s">
        <v>63</v>
      </c>
      <c r="C21" s="12" t="s">
        <v>64</v>
      </c>
      <c r="D21" s="12">
        <v>150</v>
      </c>
      <c r="E21" s="12">
        <v>15</v>
      </c>
      <c r="F21" s="12" t="s">
        <v>26</v>
      </c>
      <c r="G21" s="10" t="str">
        <v>Standard Price</v>
      </c>
      <c r="H21" s="11" t="str">
        <v>18</v>
      </c>
      <c r="I21" s="10" t="str">
        <f t="shared" si="0"/>
        <v>CA</v>
      </c>
      <c r="J21" s="10" t="str">
        <f t="shared" si="1"/>
        <v>FEB</v>
      </c>
    </row>
    <row r="22" ht="15.75" customHeight="1" spans="1:12">
      <c r="A22" s="9" t="s">
        <v>65</v>
      </c>
      <c r="B22" s="9" t="s">
        <v>43</v>
      </c>
      <c r="C22" s="9" t="s">
        <v>66</v>
      </c>
      <c r="D22" s="9">
        <v>250</v>
      </c>
      <c r="E22" s="9">
        <v>20</v>
      </c>
      <c r="F22" s="9" t="s">
        <v>26</v>
      </c>
      <c r="G22" s="10" t="str">
        <v>Standard Price</v>
      </c>
      <c r="H22" s="11" t="str">
        <v>16</v>
      </c>
      <c r="I22" s="10" t="str">
        <f t="shared" si="0"/>
        <v>ES</v>
      </c>
      <c r="J22" s="10" t="str">
        <f t="shared" si="1"/>
        <v>APR</v>
      </c>
      <c r="L22" s="15" t="s">
        <v>134</v>
      </c>
    </row>
    <row r="23" ht="15.75" customHeight="1" spans="1:12">
      <c r="A23" s="12" t="s">
        <v>67</v>
      </c>
      <c r="B23" s="12" t="s">
        <v>68</v>
      </c>
      <c r="C23" s="12" t="s">
        <v>69</v>
      </c>
      <c r="D23" s="12">
        <v>50</v>
      </c>
      <c r="E23" s="12">
        <v>35</v>
      </c>
      <c r="F23" s="12" t="s">
        <v>70</v>
      </c>
      <c r="G23" s="10" t="str">
        <v>Standard Price</v>
      </c>
      <c r="H23" s="11" t="str">
        <v>21</v>
      </c>
      <c r="I23" s="10" t="str">
        <f t="shared" si="0"/>
        <v>CA</v>
      </c>
      <c r="J23" s="10" t="str">
        <f t="shared" si="1"/>
        <v>AUG</v>
      </c>
      <c r="L23" s="3"/>
    </row>
    <row r="24" ht="15.75" customHeight="1" spans="1:12">
      <c r="A24" s="9" t="s">
        <v>71</v>
      </c>
      <c r="B24" s="9" t="s">
        <v>63</v>
      </c>
      <c r="C24" s="9" t="s">
        <v>72</v>
      </c>
      <c r="D24" s="9">
        <v>160</v>
      </c>
      <c r="E24" s="9">
        <v>15</v>
      </c>
      <c r="F24" s="9" t="s">
        <v>26</v>
      </c>
      <c r="G24" s="10" t="str">
        <v>Standard Price</v>
      </c>
      <c r="H24" s="11" t="str">
        <v>20</v>
      </c>
      <c r="I24" s="10" t="str">
        <f t="shared" si="0"/>
        <v>CN</v>
      </c>
      <c r="J24" s="10" t="str">
        <f t="shared" si="1"/>
        <v>AUG</v>
      </c>
      <c r="L24" s="3" t="s">
        <v>135</v>
      </c>
    </row>
    <row r="25" ht="15.75" customHeight="1" spans="1:12">
      <c r="A25" s="12" t="s">
        <v>73</v>
      </c>
      <c r="B25" s="12" t="s">
        <v>24</v>
      </c>
      <c r="C25" s="12" t="s">
        <v>74</v>
      </c>
      <c r="D25" s="12">
        <v>980</v>
      </c>
      <c r="E25" s="12">
        <v>10</v>
      </c>
      <c r="F25" s="12" t="s">
        <v>26</v>
      </c>
      <c r="G25" s="10" t="str">
        <v>High Price</v>
      </c>
      <c r="H25" s="11" t="str">
        <v>27</v>
      </c>
      <c r="I25" s="10" t="str">
        <f t="shared" si="0"/>
        <v>IT</v>
      </c>
      <c r="J25" s="10" t="str">
        <f t="shared" si="1"/>
        <v>JAN</v>
      </c>
      <c r="L25" s="6" t="s">
        <v>136</v>
      </c>
    </row>
    <row r="26" ht="15.75" customHeight="1" spans="1:12">
      <c r="A26" s="9" t="s">
        <v>75</v>
      </c>
      <c r="B26" s="9" t="s">
        <v>76</v>
      </c>
      <c r="C26" s="9" t="s">
        <v>77</v>
      </c>
      <c r="D26" s="9">
        <v>150</v>
      </c>
      <c r="E26" s="9">
        <v>15</v>
      </c>
      <c r="F26" s="9" t="s">
        <v>30</v>
      </c>
      <c r="G26" s="10" t="str">
        <v>Standard Price</v>
      </c>
      <c r="H26" s="11" t="str">
        <v>01</v>
      </c>
      <c r="I26" s="10" t="str">
        <f t="shared" si="0"/>
        <v>UK</v>
      </c>
      <c r="J26" s="10" t="str">
        <f t="shared" si="1"/>
        <v>MAR</v>
      </c>
      <c r="L26" s="19">
        <f>MIN(D:D)</f>
        <v>30</v>
      </c>
    </row>
    <row r="27" ht="15.75" customHeight="1" spans="1:12">
      <c r="A27" s="12" t="s">
        <v>78</v>
      </c>
      <c r="B27" s="12" t="s">
        <v>79</v>
      </c>
      <c r="C27" s="12" t="s">
        <v>80</v>
      </c>
      <c r="D27" s="12">
        <v>200</v>
      </c>
      <c r="E27" s="12">
        <v>10</v>
      </c>
      <c r="F27" s="12" t="s">
        <v>41</v>
      </c>
      <c r="G27" s="10" t="str">
        <v>Standard Price</v>
      </c>
      <c r="H27" s="11" t="str">
        <v>14</v>
      </c>
      <c r="I27" s="10" t="str">
        <f t="shared" si="0"/>
        <v>US</v>
      </c>
      <c r="J27" s="10" t="str">
        <f t="shared" si="1"/>
        <v>AUG</v>
      </c>
      <c r="L27" s="3"/>
    </row>
    <row r="28" ht="15.75" customHeight="1" spans="1:12">
      <c r="A28" s="9" t="s">
        <v>81</v>
      </c>
      <c r="B28" s="9" t="s">
        <v>82</v>
      </c>
      <c r="C28" s="9" t="s">
        <v>83</v>
      </c>
      <c r="D28" s="9">
        <v>700</v>
      </c>
      <c r="E28" s="9">
        <v>50</v>
      </c>
      <c r="F28" s="9" t="s">
        <v>26</v>
      </c>
      <c r="G28" s="10" t="str">
        <v>High Price</v>
      </c>
      <c r="H28" s="11" t="str">
        <v>14</v>
      </c>
      <c r="I28" s="10" t="str">
        <f t="shared" si="0"/>
        <v>RU</v>
      </c>
      <c r="J28" s="10" t="str">
        <f t="shared" si="1"/>
        <v>MAY</v>
      </c>
      <c r="L28" s="3" t="s">
        <v>137</v>
      </c>
    </row>
    <row r="29" ht="15.75" customHeight="1" spans="1:12">
      <c r="A29" s="12" t="s">
        <v>84</v>
      </c>
      <c r="B29" s="12" t="s">
        <v>85</v>
      </c>
      <c r="C29" s="12" t="s">
        <v>86</v>
      </c>
      <c r="D29" s="12">
        <v>80</v>
      </c>
      <c r="E29" s="12">
        <v>20</v>
      </c>
      <c r="F29" s="12" t="s">
        <v>34</v>
      </c>
      <c r="G29" s="10" t="str">
        <v>Standard Price</v>
      </c>
      <c r="H29" s="11" t="str">
        <v>09</v>
      </c>
      <c r="I29" s="10" t="str">
        <f t="shared" si="0"/>
        <v>CA</v>
      </c>
      <c r="J29" s="10" t="str">
        <f t="shared" si="1"/>
        <v>JAN</v>
      </c>
      <c r="L29" s="6" t="s">
        <v>138</v>
      </c>
    </row>
    <row r="30" ht="15.75" customHeight="1" spans="1:12">
      <c r="A30" s="9" t="s">
        <v>87</v>
      </c>
      <c r="B30" s="9" t="s">
        <v>88</v>
      </c>
      <c r="C30" s="9" t="s">
        <v>89</v>
      </c>
      <c r="D30" s="9">
        <v>150</v>
      </c>
      <c r="E30" s="9">
        <v>30</v>
      </c>
      <c r="F30" s="9" t="s">
        <v>26</v>
      </c>
      <c r="G30" s="10" t="str">
        <v>Standard Price</v>
      </c>
      <c r="H30" s="11" t="str">
        <v>19</v>
      </c>
      <c r="I30" s="10" t="str">
        <f t="shared" si="0"/>
        <v>BR</v>
      </c>
      <c r="J30" s="10" t="str">
        <f t="shared" si="1"/>
        <v>JUL</v>
      </c>
      <c r="L30" s="22">
        <f>MAX(D:D)</f>
        <v>1000</v>
      </c>
    </row>
    <row r="31" ht="15.75" customHeight="1" spans="1:10">
      <c r="A31" s="12" t="s">
        <v>67</v>
      </c>
      <c r="B31" s="12" t="s">
        <v>68</v>
      </c>
      <c r="C31" s="12" t="s">
        <v>69</v>
      </c>
      <c r="D31" s="12">
        <v>50</v>
      </c>
      <c r="E31" s="12">
        <v>35</v>
      </c>
      <c r="F31" s="12" t="s">
        <v>70</v>
      </c>
      <c r="G31" s="10" t="str">
        <v>Standard Price</v>
      </c>
      <c r="H31" s="11" t="str">
        <v>21</v>
      </c>
      <c r="I31" s="10" t="str">
        <f t="shared" si="0"/>
        <v>CA</v>
      </c>
      <c r="J31" s="10" t="str">
        <f t="shared" si="1"/>
        <v>AUG</v>
      </c>
    </row>
    <row r="32" ht="15.75" customHeight="1" spans="1:10">
      <c r="A32" s="9" t="s">
        <v>90</v>
      </c>
      <c r="B32" s="9" t="s">
        <v>36</v>
      </c>
      <c r="C32" s="9" t="s">
        <v>91</v>
      </c>
      <c r="D32" s="9">
        <v>800</v>
      </c>
      <c r="E32" s="9">
        <v>45</v>
      </c>
      <c r="F32" s="9" t="s">
        <v>26</v>
      </c>
      <c r="G32" s="10" t="str">
        <v>High Price</v>
      </c>
      <c r="H32" s="11" t="str">
        <v>29</v>
      </c>
      <c r="I32" s="10" t="str">
        <f t="shared" si="0"/>
        <v>CA</v>
      </c>
      <c r="J32" s="10" t="str">
        <f t="shared" si="1"/>
        <v>SEP</v>
      </c>
    </row>
    <row r="33" ht="15.75" customHeight="1" spans="1:12">
      <c r="A33" s="12" t="s">
        <v>92</v>
      </c>
      <c r="B33" s="12" t="s">
        <v>76</v>
      </c>
      <c r="C33" s="12" t="s">
        <v>93</v>
      </c>
      <c r="D33" s="12">
        <v>130</v>
      </c>
      <c r="E33" s="12">
        <v>25</v>
      </c>
      <c r="F33" s="12" t="s">
        <v>30</v>
      </c>
      <c r="G33" s="10" t="str">
        <v>Standard Price</v>
      </c>
      <c r="H33" s="11" t="str">
        <v>03</v>
      </c>
      <c r="I33" s="10" t="str">
        <f t="shared" si="0"/>
        <v>CA</v>
      </c>
      <c r="J33" s="10" t="str">
        <f t="shared" si="1"/>
        <v>JUN</v>
      </c>
      <c r="L33" s="23" t="s">
        <v>139</v>
      </c>
    </row>
    <row r="34" ht="15.75" customHeight="1" spans="1:12">
      <c r="A34" s="9" t="s">
        <v>94</v>
      </c>
      <c r="B34" s="9" t="s">
        <v>49</v>
      </c>
      <c r="C34" s="9" t="s">
        <v>95</v>
      </c>
      <c r="D34" s="9">
        <v>400</v>
      </c>
      <c r="E34" s="9">
        <v>40</v>
      </c>
      <c r="F34" s="9" t="s">
        <v>34</v>
      </c>
      <c r="G34" s="10" t="str">
        <v>Standard Price</v>
      </c>
      <c r="H34" s="11" t="str">
        <v>11</v>
      </c>
      <c r="I34" s="10" t="str">
        <f t="shared" si="0"/>
        <v>CA</v>
      </c>
      <c r="J34" s="10" t="str">
        <f t="shared" si="1"/>
        <v>JUL</v>
      </c>
      <c r="L34" s="3"/>
    </row>
    <row r="35" ht="15.75" customHeight="1" spans="1:12">
      <c r="A35" s="12" t="s">
        <v>65</v>
      </c>
      <c r="B35" s="12" t="s">
        <v>43</v>
      </c>
      <c r="C35" s="12" t="s">
        <v>66</v>
      </c>
      <c r="D35" s="12">
        <v>230</v>
      </c>
      <c r="E35" s="12">
        <v>20</v>
      </c>
      <c r="F35" s="12" t="s">
        <v>26</v>
      </c>
      <c r="G35" s="10" t="str">
        <v>Standard Price</v>
      </c>
      <c r="H35" s="11" t="str">
        <v>16</v>
      </c>
      <c r="I35" s="10" t="str">
        <f t="shared" si="0"/>
        <v>ES</v>
      </c>
      <c r="J35" s="10" t="str">
        <f t="shared" si="1"/>
        <v>APR</v>
      </c>
      <c r="L35" s="3" t="s">
        <v>140</v>
      </c>
    </row>
    <row r="36" ht="15.75" customHeight="1" spans="1:12">
      <c r="A36" s="9" t="s">
        <v>96</v>
      </c>
      <c r="B36" s="9" t="s">
        <v>97</v>
      </c>
      <c r="C36" s="9" t="s">
        <v>98</v>
      </c>
      <c r="D36" s="9">
        <v>60</v>
      </c>
      <c r="E36" s="9">
        <v>30</v>
      </c>
      <c r="F36" s="9" t="s">
        <v>30</v>
      </c>
      <c r="G36" s="10" t="str">
        <v>Standard Price</v>
      </c>
      <c r="H36" s="11" t="str">
        <v>07</v>
      </c>
      <c r="I36" s="10" t="str">
        <f t="shared" si="0"/>
        <v>CA</v>
      </c>
      <c r="J36" s="10" t="str">
        <f t="shared" si="1"/>
        <v>MAR</v>
      </c>
      <c r="L36" s="6" t="s">
        <v>141</v>
      </c>
    </row>
    <row r="37" ht="15.75" customHeight="1" spans="1:12">
      <c r="A37" s="12" t="s">
        <v>99</v>
      </c>
      <c r="B37" s="12" t="s">
        <v>100</v>
      </c>
      <c r="C37" s="12" t="s">
        <v>101</v>
      </c>
      <c r="D37" s="12">
        <v>40</v>
      </c>
      <c r="E37" s="12">
        <v>10</v>
      </c>
      <c r="F37" s="12" t="s">
        <v>34</v>
      </c>
      <c r="G37" s="10" t="str">
        <v>Standard Price</v>
      </c>
      <c r="H37" s="11" t="str">
        <v>13</v>
      </c>
      <c r="I37" s="10" t="str">
        <f t="shared" si="0"/>
        <v>CA</v>
      </c>
      <c r="J37" s="10" t="str">
        <f t="shared" si="1"/>
        <v>APR</v>
      </c>
      <c r="L37" s="19">
        <f>SUMIF(F:F,"Electronics",D:D)</f>
        <v>8050</v>
      </c>
    </row>
    <row r="38" ht="15.75" customHeight="1" spans="1:12">
      <c r="A38" s="9" t="s">
        <v>102</v>
      </c>
      <c r="B38" s="9" t="s">
        <v>88</v>
      </c>
      <c r="C38" s="9" t="s">
        <v>103</v>
      </c>
      <c r="D38" s="9">
        <v>130</v>
      </c>
      <c r="E38" s="9">
        <v>5</v>
      </c>
      <c r="F38" s="9" t="s">
        <v>26</v>
      </c>
      <c r="G38" s="10" t="str">
        <v>Standard Price</v>
      </c>
      <c r="H38" s="11" t="str">
        <v>24</v>
      </c>
      <c r="I38" s="10" t="str">
        <f t="shared" si="0"/>
        <v>CA</v>
      </c>
      <c r="J38" s="10" t="str">
        <f t="shared" si="1"/>
        <v>MAY</v>
      </c>
      <c r="L38" s="3"/>
    </row>
    <row r="39" ht="15.75" customHeight="1" spans="1:12">
      <c r="A39" s="12" t="s">
        <v>104</v>
      </c>
      <c r="B39" s="12" t="s">
        <v>105</v>
      </c>
      <c r="C39" s="12" t="s">
        <v>106</v>
      </c>
      <c r="D39" s="12">
        <v>50</v>
      </c>
      <c r="E39" s="12">
        <v>50</v>
      </c>
      <c r="F39" s="12" t="s">
        <v>30</v>
      </c>
      <c r="G39" s="10" t="str">
        <v>Standard Price</v>
      </c>
      <c r="H39" s="11" t="str">
        <v>02</v>
      </c>
      <c r="I39" s="10" t="str">
        <f t="shared" si="0"/>
        <v>CA</v>
      </c>
      <c r="J39" s="10" t="str">
        <f t="shared" si="1"/>
        <v>DEC</v>
      </c>
      <c r="L39" s="3" t="s">
        <v>142</v>
      </c>
    </row>
    <row r="40" ht="15.75" customHeight="1" spans="1:12">
      <c r="A40" s="9" t="s">
        <v>57</v>
      </c>
      <c r="B40" s="9" t="s">
        <v>24</v>
      </c>
      <c r="C40" s="9" t="s">
        <v>58</v>
      </c>
      <c r="D40" s="9">
        <v>950</v>
      </c>
      <c r="E40" s="9">
        <v>25</v>
      </c>
      <c r="F40" s="9" t="s">
        <v>26</v>
      </c>
      <c r="G40" s="10" t="str">
        <v>High Price</v>
      </c>
      <c r="H40" s="11" t="str">
        <v>17</v>
      </c>
      <c r="I40" s="10" t="str">
        <f t="shared" si="0"/>
        <v>IN</v>
      </c>
      <c r="J40" s="10" t="str">
        <f t="shared" si="1"/>
        <v>JUN</v>
      </c>
      <c r="L40" s="6" t="s">
        <v>143</v>
      </c>
    </row>
    <row r="41" ht="15.75" customHeight="1" spans="1:12">
      <c r="A41" s="12" t="s">
        <v>107</v>
      </c>
      <c r="B41" s="12" t="s">
        <v>108</v>
      </c>
      <c r="C41" s="12" t="s">
        <v>109</v>
      </c>
      <c r="D41" s="12">
        <v>100</v>
      </c>
      <c r="E41" s="12">
        <v>20</v>
      </c>
      <c r="F41" s="12" t="s">
        <v>70</v>
      </c>
      <c r="G41" s="13" t="str">
        <v>Standard Price</v>
      </c>
      <c r="H41" s="14" t="str">
        <v>09</v>
      </c>
      <c r="I41" s="13" t="str">
        <f t="shared" si="0"/>
        <v>FR</v>
      </c>
      <c r="J41" s="13" t="str">
        <f t="shared" si="1"/>
        <v>JUL</v>
      </c>
      <c r="L41" s="24">
        <f>COUNTIF(D:D,"&lt;100")</f>
        <v>11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 (Answers)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2025-09-19T15:19:00Z</dcterms:created>
  <dcterms:modified xsi:type="dcterms:W3CDTF">2025-09-21T14:59:46Z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64E3B74F075D454CAFF6D732BB0C612E_13</vt:lpwstr>
  </property>
  <property fmtid="{D5CDD505-2E9C-101B-9397-08002B2CF9AE}" pid="3" name="KSOProductBuildVer">
    <vt:lpwstr>1033-12.2.0.22549</vt:lpwstr>
  </property>
</Properties>
</file>